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defaultThemeVersion="124226"/>
  <xr:revisionPtr revIDLastSave="0" documentId="13_ncr:1_{DE1066C0-E5E9-4968-AD17-AA2F36337DD6}" xr6:coauthVersionLast="47" xr6:coauthVersionMax="47" xr10:uidLastSave="{00000000-0000-0000-0000-000000000000}"/>
  <bookViews>
    <workbookView xWindow="-98" yWindow="-98" windowWidth="19396" windowHeight="10546" xr2:uid="{00000000-000D-0000-FFFF-FFFF00000000}"/>
  </bookViews>
  <sheets>
    <sheet name="Phụ lục I" sheetId="10" r:id="rId1"/>
    <sheet name="Phụ lục II" sheetId="11" r:id="rId2"/>
  </sheets>
  <externalReferences>
    <externalReference r:id="rId3"/>
  </externalReferences>
  <definedNames>
    <definedName name="_xlnm._FilterDatabase" localSheetId="0" hidden="1">'Phụ lục I'!$A$4:$Z$126</definedName>
    <definedName name="_xlnm.Print_Area" localSheetId="0">'Phụ lục I'!$A$1:$U$124</definedName>
    <definedName name="_xlnm.Print_Area" localSheetId="1">'Phụ lục II'!$A$1:$C$11</definedName>
    <definedName name="_xlnm.Print_Titles" localSheetId="0">'Phụ lục I'!$4:$4</definedName>
    <definedName name="_xlnm.Print_Titles" localSheetId="1">'Phụ lục II'!$4:$4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1" i="10" l="1"/>
  <c r="S32" i="10"/>
  <c r="S33" i="10"/>
  <c r="S34" i="10"/>
  <c r="S39" i="10"/>
  <c r="S41" i="10"/>
  <c r="S43" i="10"/>
  <c r="S48" i="10"/>
  <c r="S65" i="10"/>
  <c r="S66" i="10"/>
  <c r="S67" i="10"/>
  <c r="S75" i="10"/>
  <c r="S81" i="10"/>
  <c r="S82" i="10"/>
  <c r="S100" i="10"/>
  <c r="S101" i="10"/>
  <c r="S102" i="10"/>
  <c r="S103" i="10"/>
  <c r="S104" i="10"/>
  <c r="Q124"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6" i="10"/>
</calcChain>
</file>

<file path=xl/sharedStrings.xml><?xml version="1.0" encoding="utf-8"?>
<sst xmlns="http://schemas.openxmlformats.org/spreadsheetml/2006/main" count="1735" uniqueCount="841">
  <si>
    <t>STT</t>
  </si>
  <si>
    <t>Tên thuốc</t>
  </si>
  <si>
    <t>Tên hoạt chất</t>
  </si>
  <si>
    <t>Đơn vị tính</t>
  </si>
  <si>
    <t>Lưu ý khi kê đơn</t>
  </si>
  <si>
    <t>Dạng bào chế</t>
  </si>
  <si>
    <t>Quy cách  đóng gói</t>
  </si>
  <si>
    <t>Đường dùng</t>
  </si>
  <si>
    <t>Nước sản xuất</t>
  </si>
  <si>
    <t>Đơn giá</t>
  </si>
  <si>
    <t>Hạn dùng (tháng)</t>
  </si>
  <si>
    <t>Cơ sở sản xuất</t>
  </si>
  <si>
    <t>Tên nhà thầu</t>
  </si>
  <si>
    <t>SĐK hoặc số GPNK</t>
  </si>
  <si>
    <t>TT20</t>
  </si>
  <si>
    <t>Quyết định trúng thầu</t>
  </si>
  <si>
    <t>Số lượng</t>
  </si>
  <si>
    <t>Nội dung (viết tắt)</t>
  </si>
  <si>
    <t>Phụ lục I</t>
  </si>
  <si>
    <t>Hướng dẫn</t>
  </si>
  <si>
    <t>Biên bản hội chẩn (BBHC)</t>
  </si>
  <si>
    <t>Phải được hội chẩn trước khi sử dụng, trừ trường hợp cấp cứu thì hoàn thiện BBHC sau.
Đối với thuốc kháng sinh có lưu ý BBHC, Quỹ bảo hiểm y tế thanh toán khi thực hiện đúng quy trình hội chẩn khi kê đơn theo quy định về Hướng dẫn thực hiện quản lý sử dụng kháng sinh trong bệnh viện của Bộ Y tế</t>
  </si>
  <si>
    <t>Duyệt BGĐ</t>
  </si>
  <si>
    <t>Phải duyệt Ban giám đốc trước khi sử dụng</t>
  </si>
  <si>
    <t>Thuốc có quy định điều kiện, tỉ lệ thanh toán</t>
  </si>
  <si>
    <t>Chỉ được thanh toán BHYT đối với các trường hợp kê đơn đúng theo quy định điều kiện, tỉ lệ thanh toán</t>
  </si>
  <si>
    <t>Lưu ý kê đơn</t>
  </si>
  <si>
    <t>Nhóm TCKT</t>
  </si>
  <si>
    <t>Thông tư số 20/2022/TT-BYT ngày 31/12/2022 (TT20)</t>
  </si>
  <si>
    <t xml:space="preserve">- Nội dung Thông tư số 20/2022/TT-BYT ngày 31 tháng 12 năm 2022 của Bộ Y tế ban hành danh mục và tỷ lệ, điều kiện thanh toán đối với thuốc hóa dược, sinh phẩm, thuốc phóng xạ và chất đánh dấu thuộc phạm vi được hưởng của người tham gia bảo hiểm y tế.
- Thuốc đánh theo Số thứ tự của hoạt chất, đường dùng, dạng dùng theo Thông tư số 20/2022/TT-BYT: thanh toán theo nguồn Quỹ Bảo hiểm y tế.
</t>
  </si>
  <si>
    <t>Nồng độ, 
hàm lượng</t>
  </si>
  <si>
    <t>Số lượng tuỳ chọn mua thêm</t>
  </si>
  <si>
    <t xml:space="preserve">Thuốc hiếm theo Thông tư số 26/2019/TT-BYT ngày 30/8/2019 </t>
  </si>
  <si>
    <t>Chỉ định phòng, chẩn đoán, điều trị bệnh hiếm gặp</t>
  </si>
  <si>
    <t>(Đính kèm Thông báo số             /TB-BVĐN ngày       /      /2026 của Bệnh viện Đà Nẵng)</t>
  </si>
  <si>
    <t>Phụ lục II: HƯỚNG DẪN THỰC HIỆN DANH MỤC THUỐC BỔ SUNG TẠI BỆNH VIỆN ĐÀ NẴNG NĂM 2026</t>
  </si>
  <si>
    <t>Phụ lục I: CHI TIẾT DANH MỤC THUỐC BỔ SUNG TẠI BỆNH VIỆN ĐÀ NẴNG NĂM 2026</t>
  </si>
  <si>
    <t>(Đính kèm Thông báo số                /TB-BVĐN ngày       /      /2026 của Bệnh viện Đà Nẵng)</t>
  </si>
  <si>
    <t>- "Ngoài TT20": Thuốc có hoạt chất, đường dùng không thuộc Thông tư số 20/2022/TT-BYT: thanh toán theo nguồn khác không phải nguồn Bảo hiểm y tế như Nguồn kinh phí từ thu hoạt động sự nghiệp, nguồn tài chính hợp pháp được sử dụng theo quy định của pháp luật.</t>
  </si>
  <si>
    <t>Diazepam 10mg/2ml</t>
  </si>
  <si>
    <t>Thuốc tiêm Fentanyl citrate</t>
  </si>
  <si>
    <t>Opiphine</t>
  </si>
  <si>
    <t>Alcaine 0,5%</t>
  </si>
  <si>
    <t>Vinropin 0,5%</t>
  </si>
  <si>
    <t>Rocuronium Kabi 10mg/ml</t>
  </si>
  <si>
    <t>Rocuronium 50mg</t>
  </si>
  <si>
    <t>VINSINAT 10 mg</t>
  </si>
  <si>
    <t>Voltaren 75mg/3ml</t>
  </si>
  <si>
    <t>Colchicina Seid 1mg Tablet</t>
  </si>
  <si>
    <t>GOUTCOLCIN</t>
  </si>
  <si>
    <t>Telfast HD</t>
  </si>
  <si>
    <t>Ephedrine Aguettant 30mg/ml</t>
  </si>
  <si>
    <t>4.2% w/v Sodium Bicarbonate</t>
  </si>
  <si>
    <t>Garnotal Inj</t>
  </si>
  <si>
    <t>Dalekine</t>
  </si>
  <si>
    <t>Auclanityl 875/125mg</t>
  </si>
  <si>
    <t>Curam 1000mg</t>
  </si>
  <si>
    <t>Visulin 1g/0,5g</t>
  </si>
  <si>
    <t>Niozacef 2 g</t>
  </si>
  <si>
    <t>Clindamycin -Hameln 150mg/ml</t>
  </si>
  <si>
    <t>Azithromycin</t>
  </si>
  <si>
    <t>Cravit 1.5%</t>
  </si>
  <si>
    <t>Amvifxacin 200</t>
  </si>
  <si>
    <t>Sulfadiazin Bạc</t>
  </si>
  <si>
    <t>Myvelpa</t>
  </si>
  <si>
    <t>Amphotret</t>
  </si>
  <si>
    <t>Ampholip</t>
  </si>
  <si>
    <t>Mycamine for injection 50mg/vial</t>
  </si>
  <si>
    <t>Turbezid</t>
  </si>
  <si>
    <t>Bleomycin Bidiphar</t>
  </si>
  <si>
    <t>Alexan</t>
  </si>
  <si>
    <t>Daunocin</t>
  </si>
  <si>
    <t>Doxorubicin "Ebewe"</t>
  </si>
  <si>
    <t>Hytinon</t>
  </si>
  <si>
    <t>Spectrila</t>
  </si>
  <si>
    <t>Thymogam</t>
  </si>
  <si>
    <t>Simulect</t>
  </si>
  <si>
    <t>Myfortic 360mg</t>
  </si>
  <si>
    <t>Pakicen 250/25</t>
  </si>
  <si>
    <t>Furemin</t>
  </si>
  <si>
    <t>Fegem-100</t>
  </si>
  <si>
    <t>Albunorm 20%</t>
  </si>
  <si>
    <t>Epokine Prefilled injection 2000Units/0,5ml</t>
  </si>
  <si>
    <t>Epokine Prefilled Injection 4000IU/0,4ml</t>
  </si>
  <si>
    <t>NEUTROMAX</t>
  </si>
  <si>
    <t>Telassmo 40 mg/5 mg</t>
  </si>
  <si>
    <t>Nifedipin Hasan 20 Retard</t>
  </si>
  <si>
    <t>Ediwel</t>
  </si>
  <si>
    <t>Fucidin H</t>
  </si>
  <si>
    <t>Natri clorid 0,9%</t>
  </si>
  <si>
    <t>Verospiron 25mg</t>
  </si>
  <si>
    <t>Spirovell</t>
  </si>
  <si>
    <t>Bismogi</t>
  </si>
  <si>
    <t>Quamatel</t>
  </si>
  <si>
    <t>Trimafort</t>
  </si>
  <si>
    <t>Biviantac Fort</t>
  </si>
  <si>
    <t>Rabeloc I.V.</t>
  </si>
  <si>
    <t>Naprozole-R</t>
  </si>
  <si>
    <t>Rabeto-40</t>
  </si>
  <si>
    <t>Vinsetron</t>
  </si>
  <si>
    <t>Granisetron Kabi 1mg/ml</t>
  </si>
  <si>
    <t>P-Cet 250</t>
  </si>
  <si>
    <t>Palovin inj</t>
  </si>
  <si>
    <t>Companity</t>
  </si>
  <si>
    <t>Magnesi sulfat Kabi 15%</t>
  </si>
  <si>
    <t>Berberin</t>
  </si>
  <si>
    <t>Vindexa 10 mg/ 1 ml</t>
  </si>
  <si>
    <t>Vinphason</t>
  </si>
  <si>
    <t>Methylprednisolone Normon 40 mg Powder for injectable solution</t>
  </si>
  <si>
    <t>Vinsolon</t>
  </si>
  <si>
    <t>Prednisolon</t>
  </si>
  <si>
    <t>Deca-Durabolin</t>
  </si>
  <si>
    <t>Humalog Mix 75/25 Kwikpen</t>
  </si>
  <si>
    <t>Humalog Mix 50/50 Kwikpen</t>
  </si>
  <si>
    <t>Scilin M30 (30/70)</t>
  </si>
  <si>
    <t>Berlthyrox 100</t>
  </si>
  <si>
    <t>Huyết thanh kháng nọc rắn hổ đất tinh chế (SAV)</t>
  </si>
  <si>
    <t>Huyết thanh kháng nọc rắn lục tre tinh chế (SAV)</t>
  </si>
  <si>
    <t>Huyết thanh kháng độc tố uốn ván tinh chế (SAT)</t>
  </si>
  <si>
    <t>Liposic Eye Gel</t>
  </si>
  <si>
    <t>Lotemax</t>
  </si>
  <si>
    <t>AGIHISTINE 16</t>
  </si>
  <si>
    <t>Betixtin</t>
  </si>
  <si>
    <t>Betahistin 24 A.T</t>
  </si>
  <si>
    <t>Dorithricin</t>
  </si>
  <si>
    <t>Otrera 0,1%</t>
  </si>
  <si>
    <t>Extraneal Peritoneal Dialysis Solution with 7.5% Icodextrin</t>
  </si>
  <si>
    <t>Diazepam Vidipha 5</t>
  </si>
  <si>
    <t>Kali Clorid</t>
  </si>
  <si>
    <t>Panangin</t>
  </si>
  <si>
    <t>Aminoplasmal B.Braun 5% E</t>
  </si>
  <si>
    <t>Aminosteril N-Hepa 8%</t>
  </si>
  <si>
    <t>Hepagold</t>
  </si>
  <si>
    <t>Amiparen 10%</t>
  </si>
  <si>
    <t>Nutriflex Lipid Peri</t>
  </si>
  <si>
    <t>Glucose 5%</t>
  </si>
  <si>
    <t>Glucolyte-2</t>
  </si>
  <si>
    <t>Docalciole 0,25 mcg</t>
  </si>
  <si>
    <t>Trivit-B</t>
  </si>
  <si>
    <t>Magnesi B6</t>
  </si>
  <si>
    <t>Debomin</t>
  </si>
  <si>
    <t>Anoro Ellipta</t>
  </si>
  <si>
    <t>Trelegy Ellipta</t>
  </si>
  <si>
    <t>Breztri Aerosphere</t>
  </si>
  <si>
    <t>Darzalex</t>
  </si>
  <si>
    <t>Milgamma mono 150</t>
  </si>
  <si>
    <t>Ozempic</t>
  </si>
  <si>
    <t>Primovist</t>
  </si>
  <si>
    <t>Relestat</t>
  </si>
  <si>
    <t>Soliqua Solostar</t>
  </si>
  <si>
    <t>Uperio 100mg</t>
  </si>
  <si>
    <t>Uperio 200mg</t>
  </si>
  <si>
    <t>Uperio 50mg</t>
  </si>
  <si>
    <t>UNITECH Sodium Iodide (131I) Capsules</t>
  </si>
  <si>
    <t>Diazepam</t>
  </si>
  <si>
    <t>10mg/2ml</t>
  </si>
  <si>
    <t>Tiêm</t>
  </si>
  <si>
    <t>Fentanyl</t>
  </si>
  <si>
    <t>500mcg</t>
  </si>
  <si>
    <t>Morphin</t>
  </si>
  <si>
    <t>Morphin 7,52mg hoặc 10mg dưới dạng muối</t>
  </si>
  <si>
    <t>Proparacain hydroclorid</t>
  </si>
  <si>
    <t>0,5% (w/v)</t>
  </si>
  <si>
    <t>Nhỏ mắt</t>
  </si>
  <si>
    <t>Ropivacain hydroclorid</t>
  </si>
  <si>
    <t>50mg/10ml</t>
  </si>
  <si>
    <t>Rocuronium bromid</t>
  </si>
  <si>
    <t>(10mg/ml) x 5ml</t>
  </si>
  <si>
    <t>Tiêm hoặc Truyền tĩnh mạch</t>
  </si>
  <si>
    <t>50mg/5ml</t>
  </si>
  <si>
    <t>Tiêm/Tiêm truyền</t>
  </si>
  <si>
    <t>Aescin</t>
  </si>
  <si>
    <t>10mg</t>
  </si>
  <si>
    <t>Diclofenac</t>
  </si>
  <si>
    <t>75mg/3ml</t>
  </si>
  <si>
    <t>Colchicin</t>
  </si>
  <si>
    <t>1 mg</t>
  </si>
  <si>
    <t>Uống</t>
  </si>
  <si>
    <t>1mg</t>
  </si>
  <si>
    <t>Fexofenadin</t>
  </si>
  <si>
    <t>180mg</t>
  </si>
  <si>
    <t>Ephedrin</t>
  </si>
  <si>
    <t>30mg/ml</t>
  </si>
  <si>
    <t>Tiêm truyền tĩnh mạch</t>
  </si>
  <si>
    <t>Natri hydrocarbonat (natri bicarbonat)</t>
  </si>
  <si>
    <t>4,2%; 250ml</t>
  </si>
  <si>
    <t>Tiêm truyền</t>
  </si>
  <si>
    <t>Phenobarbital</t>
  </si>
  <si>
    <t>200mg/2 ml</t>
  </si>
  <si>
    <t>Valproat natri</t>
  </si>
  <si>
    <t>200 mg</t>
  </si>
  <si>
    <t>Amoxicilin + acid clavulanic</t>
  </si>
  <si>
    <t>125mg + 875mg</t>
  </si>
  <si>
    <t>875mg + 125mg</t>
  </si>
  <si>
    <t>Ampicilin + sulbactam</t>
  </si>
  <si>
    <t>1g + 0,5g</t>
  </si>
  <si>
    <t>Cefazolin</t>
  </si>
  <si>
    <t>2g</t>
  </si>
  <si>
    <t>Clindamycin</t>
  </si>
  <si>
    <t>150mg/ml; 2ml</t>
  </si>
  <si>
    <t>250mg</t>
  </si>
  <si>
    <t>Levofloxacin</t>
  </si>
  <si>
    <t>75mg/5ml</t>
  </si>
  <si>
    <t>Ofloxacin</t>
  </si>
  <si>
    <t>200mg</t>
  </si>
  <si>
    <t>Sulfadiazin bạc</t>
  </si>
  <si>
    <t>1% (w/w) x 200g</t>
  </si>
  <si>
    <t>Dùng ngoài</t>
  </si>
  <si>
    <t>Sofosbuvir + velpatasvir</t>
  </si>
  <si>
    <t>Velpatasvir 100mg, Sofosbuvir 400mg</t>
  </si>
  <si>
    <t>Amphotericin B*</t>
  </si>
  <si>
    <t>50mg</t>
  </si>
  <si>
    <t>5 mg/ml</t>
  </si>
  <si>
    <t>Micafungin</t>
  </si>
  <si>
    <t>Rifampicin + isoniazid + pyrazinamid</t>
  </si>
  <si>
    <t>150mg +75mg +400 mg</t>
  </si>
  <si>
    <t>Bleomycin</t>
  </si>
  <si>
    <t>15U</t>
  </si>
  <si>
    <t>Cytarabin</t>
  </si>
  <si>
    <t>50mg/ml</t>
  </si>
  <si>
    <t>Tiêm truyền tĩnh mạch, tiêm dưới da</t>
  </si>
  <si>
    <t>Daunorubicin</t>
  </si>
  <si>
    <t>20mg</t>
  </si>
  <si>
    <t>Doxorubicin</t>
  </si>
  <si>
    <t>2mg/ml</t>
  </si>
  <si>
    <t>Hydroxyurea (Hydroxycarbamid)</t>
  </si>
  <si>
    <t>500mg</t>
  </si>
  <si>
    <t>L-asparaginase</t>
  </si>
  <si>
    <t>10.000 I.U</t>
  </si>
  <si>
    <t>Anti thymocyte globulin</t>
  </si>
  <si>
    <t>250mg/5ml</t>
  </si>
  <si>
    <t>Basiliximab</t>
  </si>
  <si>
    <t>Mycophenolat</t>
  </si>
  <si>
    <t>360mg</t>
  </si>
  <si>
    <t>Levodopa + carbidopa</t>
  </si>
  <si>
    <t>25mg+250mg</t>
  </si>
  <si>
    <t>Sắt (III) hydroxyd polymaltose</t>
  </si>
  <si>
    <t>Sắt (III) hydroxyd polymaltose + acid folic</t>
  </si>
  <si>
    <t>100mg + 0,35mg</t>
  </si>
  <si>
    <t>Albumin</t>
  </si>
  <si>
    <t>10g/50ml; 100ml</t>
  </si>
  <si>
    <t>Erythropoietin</t>
  </si>
  <si>
    <t>2000IU/0,5ml</t>
  </si>
  <si>
    <t>4000IU/0,4ml</t>
  </si>
  <si>
    <t>Filgrastim</t>
  </si>
  <si>
    <t>300mcg</t>
  </si>
  <si>
    <t>Amlodipin + telmisartan</t>
  </si>
  <si>
    <t>40mg + 5mg</t>
  </si>
  <si>
    <t>Nifedipin</t>
  </si>
  <si>
    <t>Clopidogrel</t>
  </si>
  <si>
    <t>75mg</t>
  </si>
  <si>
    <t>Fusidic acid + hydrocortison</t>
  </si>
  <si>
    <t>20mg/g + 10mg/g</t>
  </si>
  <si>
    <t>Natri clorid</t>
  </si>
  <si>
    <t>0,9%;500ml</t>
  </si>
  <si>
    <t>0,9%;1000ml</t>
  </si>
  <si>
    <t>Spironolacton</t>
  </si>
  <si>
    <t>25mg</t>
  </si>
  <si>
    <t>Bismuth</t>
  </si>
  <si>
    <t>Tương đương 300mg Bismuth trikali dicitrat</t>
  </si>
  <si>
    <t>Famotidin</t>
  </si>
  <si>
    <t>Magnesi hydroxyd + nhôm hydroxyd + simethicon</t>
  </si>
  <si>
    <t>Magnesi hydroxyd 800,4mg + nhôm oxyd 400mg (dưới dạng nhôm hydroxyd gel) + simethicon 80mg</t>
  </si>
  <si>
    <t>400mg; 400mg; 61,54mg (tương đương 40mg simethicone)</t>
  </si>
  <si>
    <t>Rabeprazol</t>
  </si>
  <si>
    <t>Rabeprazole natri 40mg</t>
  </si>
  <si>
    <t>Granisetron hydroclorid</t>
  </si>
  <si>
    <t>1mg/1ml</t>
  </si>
  <si>
    <t>1mg/ml</t>
  </si>
  <si>
    <t>Tiêm hoặc tiêm truyền tĩnh mạch</t>
  </si>
  <si>
    <t>Palonosetron hydroclorid</t>
  </si>
  <si>
    <t>0,25mg/5ml</t>
  </si>
  <si>
    <t>Lactulose</t>
  </si>
  <si>
    <t>670mg/ml x 7,5ml</t>
  </si>
  <si>
    <t>Magnesi sulfat</t>
  </si>
  <si>
    <t>15%/10ml</t>
  </si>
  <si>
    <t>Berberin (hydroclorid)</t>
  </si>
  <si>
    <t>100mg</t>
  </si>
  <si>
    <t>Dexamethason</t>
  </si>
  <si>
    <t>10mg/1ml</t>
  </si>
  <si>
    <t>Hydrocortison</t>
  </si>
  <si>
    <t>Methyl prednisolon</t>
  </si>
  <si>
    <t>40mg</t>
  </si>
  <si>
    <t>Tiêm tĩnh mạch, tiêm bắp</t>
  </si>
  <si>
    <t>Prednisolon acetat (natri phosphate)</t>
  </si>
  <si>
    <t>5mg</t>
  </si>
  <si>
    <t>Nandrolon decanoat</t>
  </si>
  <si>
    <t>Tiêm bắp (IM)</t>
  </si>
  <si>
    <t>Insulin analog trộn, hỗn hợp</t>
  </si>
  <si>
    <t>300U (tương đương 10,5mg)/3ml</t>
  </si>
  <si>
    <t>Insulin người trộn, hỗn hợp</t>
  </si>
  <si>
    <t>100IU/ml x 10ml (tỷ lệ 30/70)</t>
  </si>
  <si>
    <t>Levothyroxin (muối natri)</t>
  </si>
  <si>
    <t>0,1mg</t>
  </si>
  <si>
    <t>Huyết thanh kháng nọc rắn</t>
  </si>
  <si>
    <t>1000LD50</t>
  </si>
  <si>
    <t>Huyết thanh kháng uốn ván</t>
  </si>
  <si>
    <t>1500 đvqt</t>
  </si>
  <si>
    <t>Carbomer</t>
  </si>
  <si>
    <t>0,2% (2mg/g)</t>
  </si>
  <si>
    <t>Loteprednol etabonat</t>
  </si>
  <si>
    <t>0,5% (5mg/ ml)</t>
  </si>
  <si>
    <t>Betahistin</t>
  </si>
  <si>
    <t>16mg Betahistin dihydroclorid</t>
  </si>
  <si>
    <t>24 mg Betahistin dihydroclorid</t>
  </si>
  <si>
    <t>24 mg</t>
  </si>
  <si>
    <t>Tyrothricin + benzocain+ benzalkonium</t>
  </si>
  <si>
    <t>0,5mg + 1mg + 1,5mg</t>
  </si>
  <si>
    <t>Ngậm</t>
  </si>
  <si>
    <t>Xylometazolin</t>
  </si>
  <si>
    <t>10mg/10ml (0,1%)</t>
  </si>
  <si>
    <t>Xịt mũi</t>
  </si>
  <si>
    <t>Dung dịch lọc màng bụng</t>
  </si>
  <si>
    <t>Mỗi 100ml chứa: Icodextrin 7,5g; Natri clorid 538mg; Natri lactat 448mg; Calci clorid.2H2O 25,7mg; Magie clorid hexahydrat 5,08mg (túi Ultrabag x 2L)</t>
  </si>
  <si>
    <t>Dùng theo đường màng bụng</t>
  </si>
  <si>
    <t>Mỗi 100ml chứa: Icodextrin 7,5g; Natri clorid 538mg; Natri lactat 448mg; Calci clorid.2H2O 25,7mg; Magie clorid hexahydrat 5,08mg (túi Ambu-flex x 2L)</t>
  </si>
  <si>
    <t>Kali clorid</t>
  </si>
  <si>
    <t>Magnesi aspartat + kali aspartat</t>
  </si>
  <si>
    <t>140mg + 158mg</t>
  </si>
  <si>
    <t>Acid amin*</t>
  </si>
  <si>
    <t>5%/250ml</t>
  </si>
  <si>
    <t>250ml dung dịch chứa: L-isoleucin 2,60g; L-leucin 3,27g; L-lysin acetat 2,43g tương đương với L-lysin 1,72g; L-methionin 0,28g; N-acetyl L-cystein 0,18g tương đương với L-cystein 0,13g; L-phenylalanin 0,22g; L-threonin 1,10g; L-tryptophan 0,18g; L-valin 2,52g; L-arginin 2,68g; L-histidin 0,70g; Glycin 1,46g; L-alanin 1,16g; L-prolin 1,43g; L-serin 0,56g</t>
  </si>
  <si>
    <t>8%/250ml</t>
  </si>
  <si>
    <t>10%/500ml</t>
  </si>
  <si>
    <t>Acid amin + glucose + lipid (*)</t>
  </si>
  <si>
    <t>(40g + 80g + 50g + Chất điện giải)/ 1250ml</t>
  </si>
  <si>
    <t>Glucose</t>
  </si>
  <si>
    <t>5%/500ml (chai thủy tinh)</t>
  </si>
  <si>
    <t>Natri clorid + kali clorid + monobasic kali phosphat + natri acetat + magnesi sulfat + kẽm sulfat + dextrose</t>
  </si>
  <si>
    <t>Mỗi túi 500ml chứa: Dextrose anhydrous 37,5g; Kali clorid 0,375g; Kẽm sulfat.7H2O (tương đương Kẽm sulfat 3,234mg) 5,76mg; Magne sulfat.7H2O (tương đương Magne sulfat 0,154g) 0,316g; Monobasic kali phosphat 0,68g; Natri acetat. 3H2O (tương đương Natri acetat 0,41g) 0,68g; Natri clorid 1,955g</t>
  </si>
  <si>
    <t>Calcitriol</t>
  </si>
  <si>
    <t>0,25mcg</t>
  </si>
  <si>
    <t>Vitamin B1 + B6 + B12</t>
  </si>
  <si>
    <t>100mg + 50mg + 1000mcg</t>
  </si>
  <si>
    <t>Vitamin B6 + magnesi lactat</t>
  </si>
  <si>
    <t>Vitamin B6 (Pyridoxin hydroclorid) 5mg + Magnesi lactat dihydrat 470mg</t>
  </si>
  <si>
    <t>Vitamin B6 (Pyridoxin hydroclorid) 10mg + Magnesi lactat dihydrat 940mg</t>
  </si>
  <si>
    <t>Umeclidinium bromide + Vilanterol</t>
  </si>
  <si>
    <t>62,5mcg + 25mcg</t>
  </si>
  <si>
    <t>Hít qua đường miệng</t>
  </si>
  <si>
    <t>Fluticasone furoate + Umeclidinium bromide + Vilanterol</t>
  </si>
  <si>
    <t>Mỗi liều chưa phóng thích chứa 100mcg fluticasone furoate; 62,5mcg umeclidinium (tương đương với 74,2mcg umeclidinium bromide) và 25mcg vilanterol (dạng trifenatate). Liều này tương ứng với liều phóng thích (liều đi ra khỏi đầu ngậm của dụng cụ hít) chứa 92mcg fluticasone furoate; 55mcg umeclidinium (tương đương với 65mcg umeclidinium bromide) và 22mcg vilanterol (dạng trifenatate)</t>
  </si>
  <si>
    <t>Hít qua miệng</t>
  </si>
  <si>
    <t>Budesonide + Formoterol + Glycopyrronium</t>
  </si>
  <si>
    <t>160mcg + 7,2mcg + 5mcg</t>
  </si>
  <si>
    <t>Hít/Đường hô hấp</t>
  </si>
  <si>
    <t xml:space="preserve">Daratumumab </t>
  </si>
  <si>
    <t>20mg/ml</t>
  </si>
  <si>
    <t xml:space="preserve">Benfotiamine </t>
  </si>
  <si>
    <t>150mg</t>
  </si>
  <si>
    <t>Semaglutide</t>
  </si>
  <si>
    <t>1,34mg/ml</t>
  </si>
  <si>
    <t>Gadoxetate disodium</t>
  </si>
  <si>
    <t>0,25mmol/ml</t>
  </si>
  <si>
    <t>Epinastine hydrochlorid</t>
  </si>
  <si>
    <t>0.5mg/ml</t>
  </si>
  <si>
    <t>Insulin glargine + Lixisenatide</t>
  </si>
  <si>
    <t>Insulin glargine 100 đơn vị/ml, Lixisenatide 50mcg/ml</t>
  </si>
  <si>
    <t>Sacubitril + Valsartan</t>
  </si>
  <si>
    <t>48,6mg và 51,4mg (dưới dạng muối phức hợp sacubitril valsartan natri 113,103mg)</t>
  </si>
  <si>
    <t>97,2mg và 102,8mg (dưới dạng muối phức hợp sacubitril valsartan natri 226,206mg)</t>
  </si>
  <si>
    <t>24,3mg và 25,7mg (dưới dạng muối phức hợp sacubitril valsartan natri 56,551mg)</t>
  </si>
  <si>
    <t>Iode131 (I-131)</t>
  </si>
  <si>
    <t>2 – 100 mCi/ viên</t>
  </si>
  <si>
    <t>Dung dịch tiêm</t>
  </si>
  <si>
    <t>Hộp 10 ống x 2ml</t>
  </si>
  <si>
    <t>Dung dịch tiêm bắp, tiêm tĩnh mạch, truyền tĩnh mạch, tiêm ngoài màng cứng</t>
  </si>
  <si>
    <t>Hộp 2 ống x 10ml; Hộp 5 ống x 10ml</t>
  </si>
  <si>
    <t>Hộp 10 ống 1ml</t>
  </si>
  <si>
    <t>Dung dịch nhỏ mắt</t>
  </si>
  <si>
    <t>Hộp 1 lọ 15ml</t>
  </si>
  <si>
    <t>Hộp 1 vỉ x 5 ống x 10ml</t>
  </si>
  <si>
    <t>Dung dịch tiêm hoặc tiêm truyền</t>
  </si>
  <si>
    <t>Hộp 10 lọ x 5ml</t>
  </si>
  <si>
    <t>Hộp 4 vỉ, 10 vỉ x 5 ống x 5ml</t>
  </si>
  <si>
    <t>Thuốc tiêm đông khô</t>
  </si>
  <si>
    <t>Hộp 5 lọ + 5 ống dung môi; Hộp 5 lọ, 10 lọ</t>
  </si>
  <si>
    <t>Dung dịch thuốc tiêm</t>
  </si>
  <si>
    <t>Hộp 1 vỉ x 5 ống 3ml</t>
  </si>
  <si>
    <t>Viên nén</t>
  </si>
  <si>
    <t>Hộp 2 vỉ x 20 viên</t>
  </si>
  <si>
    <t>Hộp 2 vỉ x 20 viên</t>
  </si>
  <si>
    <t>Viên nén bao phim</t>
  </si>
  <si>
    <t>Hộp 1 vỉ x 10 viên; Hộp 3 vỉ x 10 viên</t>
  </si>
  <si>
    <t>Dung dịch tiêm truyền tĩnh mạch</t>
  </si>
  <si>
    <t>Hộp 10 ống, ống thủy tinh, 1 mL</t>
  </si>
  <si>
    <t>Hộp 10 chai 250ml</t>
  </si>
  <si>
    <t>Hộp 20 ống x 2ml</t>
  </si>
  <si>
    <t>Viên nén bao phim tan trong ruột</t>
  </si>
  <si>
    <t>Hộp 1 túi nhôm x 4 vỉ x 10 viên</t>
  </si>
  <si>
    <t>Viên nén dài bao phim</t>
  </si>
  <si>
    <t>Hộp 2 vỉ x 7 viên, Hộp 2 vỉ x 10 viên, Hộp 6 vỉ x 10 viên</t>
  </si>
  <si>
    <t>Hộp 10 vỉ x 8 viên</t>
  </si>
  <si>
    <t>Thuốc bột pha tiêm</t>
  </si>
  <si>
    <t>Hộp 1 lọ; Hộp 10 lọ</t>
  </si>
  <si>
    <t>Hộp 1 Lọ x 20 ml; Hộp 10 Lọ x 20 ml</t>
  </si>
  <si>
    <t>Dung dịch tiêm bắp, tĩnh mạch sau khi pha loãng</t>
  </si>
  <si>
    <t>Viên nang cứng</t>
  </si>
  <si>
    <t>Hộp 1 vỉ x 6 viên</t>
  </si>
  <si>
    <t>Hộp 1 lọ 5ml</t>
  </si>
  <si>
    <t>Hộp 1, 10, 20 túi x 40ml</t>
  </si>
  <si>
    <t>Kem bôi da</t>
  </si>
  <si>
    <t>Hộp 200g</t>
  </si>
  <si>
    <t>Hộp 1 lọ x 28 viên</t>
  </si>
  <si>
    <t>Bột đông khô pha tiêm, truyền tĩnh mạch</t>
  </si>
  <si>
    <t>Hộp 1 lọ, Lọ bột đông khô pha tiêm</t>
  </si>
  <si>
    <t>Phức hợp lipid tiêm tĩnh mạch</t>
  </si>
  <si>
    <t>Hộp 1 Lọ, lọ 10 ml phức hợp lipid tiêm tĩnh mạch kèm kim tiêm lọc vô trùng</t>
  </si>
  <si>
    <t>Bột đông khô pha dung dịch tiêm</t>
  </si>
  <si>
    <t>Hộp 1 lọ</t>
  </si>
  <si>
    <t>Hộp 3 vỉ x 12 viên</t>
  </si>
  <si>
    <t>Bột đông khô pha tiêm</t>
  </si>
  <si>
    <t>Dung dịch tiêm, tiêm truyền</t>
  </si>
  <si>
    <t>Hộp 1 lọ 10ml</t>
  </si>
  <si>
    <t>Dung dịch đậm đặc để pha dung dịch tiêm truyền</t>
  </si>
  <si>
    <t>Hộp 100 viên, túi nhôm x 10 vỉ x 10 viên nang cứng</t>
  </si>
  <si>
    <t>Bột đông khô pha tiêm truyền</t>
  </si>
  <si>
    <t>Hộp 1 lọ x 10.000 I.U L-asparaginase</t>
  </si>
  <si>
    <t>Dung dịch tiêm truyền</t>
  </si>
  <si>
    <t>Bột pha tiêm</t>
  </si>
  <si>
    <t>Hộp 1 lọ bột pha tiêm</t>
  </si>
  <si>
    <t>Viên nén bao tan trong ruột</t>
  </si>
  <si>
    <t>Hộp 12 vỉ x 10 viên</t>
  </si>
  <si>
    <t>Hộp 03 vỉ x 10 viên, Hộp 05 vỉ x 10 viên, Hộp 10 vỉ x 10 viên</t>
  </si>
  <si>
    <t>Sirô</t>
  </si>
  <si>
    <t>Hộp 20 ống x 10ml</t>
  </si>
  <si>
    <t>Viên nén nhai</t>
  </si>
  <si>
    <t>Hộp 10 vỉ xé x 10 viên</t>
  </si>
  <si>
    <t>Hộp 1 lọ x 100ml</t>
  </si>
  <si>
    <t>Hộp 6 bơm tiêm x 0,5ml</t>
  </si>
  <si>
    <t>Hộp 6 bơm tiêm x 0,4ml</t>
  </si>
  <si>
    <t>Hộp 1 lọ 1ml dung dịch tiêm</t>
  </si>
  <si>
    <t>Hộp 4 vỉ x 7 viên</t>
  </si>
  <si>
    <t>viên nén bao phim tác dụng kéo dài</t>
  </si>
  <si>
    <t>Hộp 3 vỉ, 10 vỉ x 10 viên</t>
  </si>
  <si>
    <t>Hộp 10 vỉ x 10 viên</t>
  </si>
  <si>
    <t>Kem</t>
  </si>
  <si>
    <t>Hộp 1 tuýp 15g</t>
  </si>
  <si>
    <t>Dung dịch vô khuẩn dùng trong phẫu thuật</t>
  </si>
  <si>
    <t>Thùng 20 Chai x 500ml dùng ngoài</t>
  </si>
  <si>
    <t>Thùng 12 Chai x 1000ml dùng ngoài</t>
  </si>
  <si>
    <t>Hộp 1 vỉ x 20 viên</t>
  </si>
  <si>
    <t>Hộp 1 lọ 100 viên</t>
  </si>
  <si>
    <t>Hộp 6 vỉ x 10 viên</t>
  </si>
  <si>
    <t>Bột đông khô và dung môi pha tiêm</t>
  </si>
  <si>
    <t>Hộp 5 lọ bột và 5 ống chứa 5ml dung môi pha tiêm</t>
  </si>
  <si>
    <t>Hỗn dịch uống</t>
  </si>
  <si>
    <t>Hộp 20 gói x 10ml</t>
  </si>
  <si>
    <t>Hộp 3 vỉ, 4 vỉ, 5 vỉ x 10 viên</t>
  </si>
  <si>
    <t>Hộp 01 lọ</t>
  </si>
  <si>
    <t>Hộp 5 vỉ x 10 ống x 1ml</t>
  </si>
  <si>
    <t>Dung dịch đậm đặc pha tiêm hoặc tiêm truyền</t>
  </si>
  <si>
    <t>Hộp 5 ống x 1ml</t>
  </si>
  <si>
    <t>Hộp 1 ống x 5ml</t>
  </si>
  <si>
    <t>Dung dịch uống</t>
  </si>
  <si>
    <t>Hộp 20 ống x 7,5ml</t>
  </si>
  <si>
    <t>Hộp 50 ống x 10ml</t>
  </si>
  <si>
    <t>Hộp 20 vỉ x 10 viên</t>
  </si>
  <si>
    <t>Hộp 1 vỉ x 10 ống x 1ml; Hộp 2 vỉ x 10 ống x 1ml; Hộp 5 vỉ x 10 ống x 1ml</t>
  </si>
  <si>
    <t>Hộp 10 lọ x 10 ống dung môi 2ml</t>
  </si>
  <si>
    <t>Hộp 10 lọ + 10 ống dung môi pha tiêm</t>
  </si>
  <si>
    <t>Hộp 50 vỉ x 20 viên</t>
  </si>
  <si>
    <t>Dung dịch tiêm dầu</t>
  </si>
  <si>
    <t>Hộp 1 ống 1 ml</t>
  </si>
  <si>
    <t>Hỗn dịch tiêm</t>
  </si>
  <si>
    <t>Hộp 5 bút tiêm bơm sẵn thuốc x 3ml (15 kim kèm theo)</t>
  </si>
  <si>
    <t>Hộp 1 lọ x 10ml</t>
  </si>
  <si>
    <t>Hộp 4 vỉ x 25 viên nén</t>
  </si>
  <si>
    <t>Hộp 10 lọ x 1000 LD50/lọ</t>
  </si>
  <si>
    <t>Hộp 20 ống, hai vỉ x 1500 đvqt</t>
  </si>
  <si>
    <t>Gel tra mắt</t>
  </si>
  <si>
    <t>Hộp/ 1 tuýp 10g</t>
  </si>
  <si>
    <t>Hỗn dịch nhỏ mắt</t>
  </si>
  <si>
    <t>Hộp/ 1 lọ 5ml</t>
  </si>
  <si>
    <t>Hộp 3 vỉ x 10 viên</t>
  </si>
  <si>
    <t>Viên ngậm họng</t>
  </si>
  <si>
    <t>Hộp/ 2 vỉ x 10 viên</t>
  </si>
  <si>
    <t>Dung dịch xịt mũi</t>
  </si>
  <si>
    <t>Hộp 1 chai x 10ml</t>
  </si>
  <si>
    <t>Dung dịch thẩm phân phúc mạc</t>
  </si>
  <si>
    <t>Thùng 6 túi Ultrabag x 2L</t>
  </si>
  <si>
    <t>Thùng 6 túi Ambu-flex x 2L</t>
  </si>
  <si>
    <t>Hộp 1 lọ 50 viên</t>
  </si>
  <si>
    <t>Thùng 10 chai 250ml</t>
  </si>
  <si>
    <t>Thùng chứa 10 túi 250ml</t>
  </si>
  <si>
    <t>Thùng 20 túi x 500ml</t>
  </si>
  <si>
    <t>Nhũ tương tiêm truyền</t>
  </si>
  <si>
    <t>Hộp 05 Túi x 1250 ml, (túi chia 3 ngăn)</t>
  </si>
  <si>
    <t>Thùng 12 chai thủy tinh 500ml</t>
  </si>
  <si>
    <t>Viên nang mềm</t>
  </si>
  <si>
    <t>Hộp 1 vỉ x 10 viên, hộp 3 vỉ x 10 viên, hộp 10 vỉ x 10 viên</t>
  </si>
  <si>
    <t>Hộp 10 ống 3ml</t>
  </si>
  <si>
    <t>Hộp 10 vỉ, 50 vỉ x 10 viên</t>
  </si>
  <si>
    <t>Viên nén sủi</t>
  </si>
  <si>
    <t>Hộp 2 vỉ x 4 viên, Hộp 4 vỉ x 4 viên; Hộp 1 tuýp x 10 viên, Hộp 1 tuýp x 20 viên</t>
  </si>
  <si>
    <t>Thuốc bột hít phân liều</t>
  </si>
  <si>
    <t>Hộp 1 dụng cụ hít chứa 30 liều hít</t>
  </si>
  <si>
    <t>Hộp có 1 dụng cụ hít chứa 30 liều hít</t>
  </si>
  <si>
    <t>Hỗn dịch nén dưới áp suất dùng để hít</t>
  </si>
  <si>
    <t>Hộp gồm 1 túi nhôm chứa 1 bình xịt 120 liều</t>
  </si>
  <si>
    <t>Dung dịch đậm đặc để pha dung dịch truyền</t>
  </si>
  <si>
    <t>Hộp 1 lọ 20ml</t>
  </si>
  <si>
    <t>Viên bao đường</t>
  </si>
  <si>
    <t>Hộp 1 bút tiêm bơm sẵn thuốc 1,5ml dung dịch chứa 2mg Semaglutide và 6 kim tiêm dùng 1 lần (phân phối liều 0,25mg hoặc liều 0,5mg)</t>
  </si>
  <si>
    <t>Hộp 1 bút tiêm bơm sẵn thuốc 3ml dung dịch chứa 4mg Semaglutide và 4 kim tiêm dùng 1 lần (phân phối liều 1mg)</t>
  </si>
  <si>
    <t>Hộp 1 bơm tiêm thủy tinh chứa 10ml dung dịch tiêm</t>
  </si>
  <si>
    <t>Dung dịch tiêm trong bút tiêm nạp sẵn</t>
  </si>
  <si>
    <t>Hộp 3 bút tiêm x 3ml</t>
  </si>
  <si>
    <t>Hộp 2 vỉ x 14 viên</t>
  </si>
  <si>
    <t>Lọ 1-6 viên x (1-50 mCi/viên); Lọ 1-2 viên x (&gt;50-100 mCi/viên)</t>
  </si>
  <si>
    <t>36 tháng</t>
  </si>
  <si>
    <t>893112683724 (SĐK cũ: VD-25308-16)</t>
  </si>
  <si>
    <t>Công ty cổ phần dược phẩm Trung ương Vidipha</t>
  </si>
  <si>
    <t>Việt Nam</t>
  </si>
  <si>
    <t>Ống</t>
  </si>
  <si>
    <t>48 tháng</t>
  </si>
  <si>
    <t>690111337925 (VN-18482-14)</t>
  </si>
  <si>
    <t>Yichang Humanwell Pharmaceutical Co.,Ltđ</t>
  </si>
  <si>
    <t>China</t>
  </si>
  <si>
    <t>400111072223 (VN-19415-15)</t>
  </si>
  <si>
    <t>Siegfried Hameln GmbH</t>
  </si>
  <si>
    <t>Germany</t>
  </si>
  <si>
    <t>30 tháng</t>
  </si>
  <si>
    <t>540110001624</t>
  </si>
  <si>
    <t>Novartis Manufacturing NV</t>
  </si>
  <si>
    <t>Bỉ</t>
  </si>
  <si>
    <t>Lọ</t>
  </si>
  <si>
    <t>893114283224</t>
  </si>
  <si>
    <t>Công ty Cổ phần Dược phẩm Vĩnh Phúc</t>
  </si>
  <si>
    <t>Việt Nam</t>
  </si>
  <si>
    <t>24 tháng</t>
  </si>
  <si>
    <t>VN-22745-21</t>
  </si>
  <si>
    <t>Fresenius Kabi Austria GmbH</t>
  </si>
  <si>
    <t>Áo</t>
  </si>
  <si>
    <t>VD-35273-21</t>
  </si>
  <si>
    <t>Lọ thuốc tiêm đông khô: 36 tháng, Ống dung môi: 36 tháng</t>
  </si>
  <si>
    <t>VD-36171-22</t>
  </si>
  <si>
    <t>Công ty cổ phần dược phẩm Vĩnh Phúc</t>
  </si>
  <si>
    <t>VN-20041-16 (Có QĐ gia hạn số 853/QĐ-QLD ngày 30/12/2022)</t>
  </si>
  <si>
    <t>Lek Pharmaceuticals d.d.</t>
  </si>
  <si>
    <t>Slovenia</t>
  </si>
  <si>
    <t>60 tháng</t>
  </si>
  <si>
    <t>840115989624 (VN-22254-19)</t>
  </si>
  <si>
    <t>Seid, S.A</t>
  </si>
  <si>
    <t>Spain</t>
  </si>
  <si>
    <t>Viên</t>
  </si>
  <si>
    <t>893115430624 (VD-24115-16)</t>
  </si>
  <si>
    <t>CN Cty CPDP Agimexpharm - Nhà máy SX DP Agimexpharm</t>
  </si>
  <si>
    <t>893100314023</t>
  </si>
  <si>
    <t>Công ty Cổ phần Sanofi Việt Nam</t>
  </si>
  <si>
    <t>VN-19221-15</t>
  </si>
  <si>
    <t>Laboratoire Aguettant</t>
  </si>
  <si>
    <t>Pháp</t>
  </si>
  <si>
    <t>VN-18586-15</t>
  </si>
  <si>
    <t>B.Braun Melsungen AG</t>
  </si>
  <si>
    <t>Đức</t>
  </si>
  <si>
    <t>Chai</t>
  </si>
  <si>
    <t>VD-16785-12. Gia hạn đến 25/05/2027. Số QĐ 279/QĐ-QLD</t>
  </si>
  <si>
    <t>Công ty Cổ phần Dược Danapha</t>
  </si>
  <si>
    <t>893114872324</t>
  </si>
  <si>
    <t>893110394324 (VD-27058-17)</t>
  </si>
  <si>
    <t>Công ty cổ phần dược phẩm Tipharco</t>
  </si>
  <si>
    <t>888110436823</t>
  </si>
  <si>
    <t>Sandoz GmbH</t>
  </si>
  <si>
    <t>893110171924 (VD-25322-16)</t>
  </si>
  <si>
    <t>Công ty cổ phần Dược phẩm VCP</t>
  </si>
  <si>
    <t>893110202423</t>
  </si>
  <si>
    <t>Công ty Cổ phần Trust Farma Quốc Tế</t>
  </si>
  <si>
    <t>Việt nam</t>
  </si>
  <si>
    <t>"400110988024 (VN-22333-19)"</t>
  </si>
  <si>
    <t>VD-36214-22</t>
  </si>
  <si>
    <t>Công ty CP dược vật tư y tế Thái Bình</t>
  </si>
  <si>
    <t>VN-20214-16 (Có QĐ gia hạn số 573/QĐ-QLD ngày 23/09/2022)</t>
  </si>
  <si>
    <t>Santen Pharmaceutical Co., Ltd. - Nhà máy Noto</t>
  </si>
  <si>
    <t>Nhật</t>
  </si>
  <si>
    <t>893115234125</t>
  </si>
  <si>
    <t>Công ty cổ Phần Dược phẩm Am Vi</t>
  </si>
  <si>
    <t>Túi</t>
  </si>
  <si>
    <t>893100130725 (VD-28280-17)</t>
  </si>
  <si>
    <t>Công ty CP Dược Medipharco</t>
  </si>
  <si>
    <t>Hộp</t>
  </si>
  <si>
    <t>890110196823 (SĐK cũ: VN3-242-19)</t>
  </si>
  <si>
    <t>Mylan Laboratories Limited</t>
  </si>
  <si>
    <t>India</t>
  </si>
  <si>
    <t>VN-18166-14</t>
  </si>
  <si>
    <t>Bharat Serums And Vaccines Limited</t>
  </si>
  <si>
    <t>VN-19392-15</t>
  </si>
  <si>
    <t>Bharat Serums and Vaccines Limited</t>
  </si>
  <si>
    <t>Ấn Độ</t>
  </si>
  <si>
    <t>VN3-102-18</t>
  </si>
  <si>
    <t>Astellas Pharma Tech Co., Ltd. Takaoka Plant</t>
  </si>
  <si>
    <t>893110160824</t>
  </si>
  <si>
    <t>Công ty cổ phần dược phẩm Nam Hà</t>
  </si>
  <si>
    <t>893114092923 (QLĐB-768-19)</t>
  </si>
  <si>
    <t>Cơ sở sản xuất: Công ty cổ phần Dược - Trang thiết bị y tế Bình Định (Bidiphar). Nhà máy sản xuất: Chi nhánh Công ty cổ phần Dược - Trang thiết bị y tế Bình Định (Bidiphar) - Nhà máy công nghệ cao Nhơn Hội</t>
  </si>
  <si>
    <t>VN-20580-17</t>
  </si>
  <si>
    <t>Fareva Unterach GmbH</t>
  </si>
  <si>
    <t>VN-17487-13</t>
  </si>
  <si>
    <t>Korea United Pharm. Inc.</t>
  </si>
  <si>
    <t>Korea</t>
  </si>
  <si>
    <t>900114412423</t>
  </si>
  <si>
    <t>880114031225 (SĐK cũ: VN-22158-19)</t>
  </si>
  <si>
    <t>Korea United Pharm.Inc.</t>
  </si>
  <si>
    <t>Hàn Quốc</t>
  </si>
  <si>
    <t>3986/QLD-KD 2506/QLD-KD 1865/QLD-KD</t>
  </si>
  <si>
    <t>- Cơ sở sản xuất: LYOCONTRACT GmbH - SHGP, đóng gói thứ cấp, xuất xưởng: Medac Gesellschaft fur klinische Spezialpraparate mbH</t>
  </si>
  <si>
    <t>- Cơ sở sản xuất: Đức - SHGP,đóng gói thứ cấp, xuất xưởng: Đức</t>
  </si>
  <si>
    <t>622/QLD-KD</t>
  </si>
  <si>
    <t>BHARAT SERUMS AND VACCINES LIMITED</t>
  </si>
  <si>
    <t>800410322725</t>
  </si>
  <si>
    <t>Cơ sở sản xuất và đóng gói cấp 1: Patheon Italia S.p.A; Cơ sở sản xuất ống dung môi, đóng gói cấp 2 và xuất xưởng: Delpharm Dijon</t>
  </si>
  <si>
    <t>Cơ sở sản xuất và đóng gói cấp 1: Ý; Cơ sở sản xuất ống dung môi, đóng gói cấp 2 và xuất xưởng: Pháp</t>
  </si>
  <si>
    <t>400114430523</t>
  </si>
  <si>
    <t>Cơ sở sản xuất: Novartis Pharma Produktions GmbH; Cơ sở đóng gói và xuất xưởng: Lek d.d., PE Proizvodnja Lendava</t>
  </si>
  <si>
    <t>Cơ sở sản xuất: Đức; Cơ sở đóng gói và xuất xưởng: Slovenia</t>
  </si>
  <si>
    <t>893110272625</t>
  </si>
  <si>
    <t>Công ty Cổ phần Medcen</t>
  </si>
  <si>
    <t>893100084825</t>
  </si>
  <si>
    <t>Công ty cổ phần dược phẩm Thành Phát</t>
  </si>
  <si>
    <t>890100046225 (VN-14829-12)</t>
  </si>
  <si>
    <t>Torrent Pharmaceuticals Ltd.</t>
  </si>
  <si>
    <t>"400410646324 (QLSP-1129-18)"</t>
  </si>
  <si>
    <t>Cơ sở sản xuất bán thành phẩm đóng gói cấp 1 và xuất xưởng lô: Octapharma Produktionsgesellschaft Deutschland mbH; Cơ sở đóng gói cấp 2: Octapharma Dessau GmbH</t>
  </si>
  <si>
    <t>880410110624</t>
  </si>
  <si>
    <t>HK inno.N Corporation</t>
  </si>
  <si>
    <t>Bơm tiêm</t>
  </si>
  <si>
    <t>QLSP-0666-13</t>
  </si>
  <si>
    <t>24</t>
  </si>
  <si>
    <t>QLSP-0804-14</t>
  </si>
  <si>
    <t>BIO SIDUS S.A.</t>
  </si>
  <si>
    <t>Argentina</t>
  </si>
  <si>
    <t>383110326825</t>
  </si>
  <si>
    <t>KRKA, D.D., Novo Mesto</t>
  </si>
  <si>
    <t>893110458024</t>
  </si>
  <si>
    <t>Công ty TNHH Hasan - Dermapharm</t>
  </si>
  <si>
    <t>893110164425 (VD-20441-14)</t>
  </si>
  <si>
    <t>Công Ty Cổ Phần Dược Phẩm Hà Tây</t>
  </si>
  <si>
    <t>539110034823</t>
  </si>
  <si>
    <t>LEO Laboratories Limited</t>
  </si>
  <si>
    <t>Ireland</t>
  </si>
  <si>
    <t>Tuýp</t>
  </si>
  <si>
    <t>893110118523</t>
  </si>
  <si>
    <t>Công ty cổ phần kỹ thuật Dược Bình Định</t>
  </si>
  <si>
    <t>VN-16485-13</t>
  </si>
  <si>
    <t>Gedeon Richter Plc</t>
  </si>
  <si>
    <t>Hungary</t>
  </si>
  <si>
    <t>640110123224</t>
  </si>
  <si>
    <t>Orion Corporation/ Orion Pharma (Cơ sở chịu trách nhiệm xuất xưởng: Orion Corporation/ Orion Pharma (Địa chỉ: Joensuunkatu 7 FI-24100 Salo, Finland))</t>
  </si>
  <si>
    <t>Phần Lan</t>
  </si>
  <si>
    <t>893110055625</t>
  </si>
  <si>
    <t>Chi nhánh Công ty cổ phần dược phẩm Agimexpharm - Nhà máy sản xuất dược phẩm Agimexpharm</t>
  </si>
  <si>
    <t>599110524724 (VN-20279-17)</t>
  </si>
  <si>
    <t>880100084223 (VN-20750-17)</t>
  </si>
  <si>
    <t>Daewoong Pharmaceutical Co., Ltd.</t>
  </si>
  <si>
    <t>Gói</t>
  </si>
  <si>
    <t>893100459423</t>
  </si>
  <si>
    <t>Công ty cổ phần dược phẩm Reliv</t>
  </si>
  <si>
    <t>VN-16603-13</t>
  </si>
  <si>
    <t>Cadila Pharmaceuticals Ltd.</t>
  </si>
  <si>
    <t>890110412023 (VN-19509-15)</t>
  </si>
  <si>
    <t>Naprod Life Sciences Pvt. Ltd.</t>
  </si>
  <si>
    <t>VN-19733-16</t>
  </si>
  <si>
    <t>Flamingo Pharmaceuticals Limited</t>
  </si>
  <si>
    <t>VD-34794-20</t>
  </si>
  <si>
    <t>560110987324</t>
  </si>
  <si>
    <t>Labesfal - Laboratórios Almiro, S.A</t>
  </si>
  <si>
    <t>Bồ Đào Nha</t>
  </si>
  <si>
    <t>840110428023</t>
  </si>
  <si>
    <t>Laboratorio Reig Jofre, S.A</t>
  </si>
  <si>
    <t>VD-35462-21</t>
  </si>
  <si>
    <t>893100151224</t>
  </si>
  <si>
    <t>Công ty cổ phần dược phẩm CPC1 Hà Nội</t>
  </si>
  <si>
    <t>VD-19567-13 (QĐ gia hạn số 574/QĐ-QLD ngày 26/09/2022)</t>
  </si>
  <si>
    <t>Công ty Cổ phần Fresenius Kabi Việt Nam</t>
  </si>
  <si>
    <t>VD-19319-13</t>
  </si>
  <si>
    <t>Công ty cổ phần Dược - Trang thiết bị y tế Bình Định (Bidiphar)</t>
  </si>
  <si>
    <t>893110474625</t>
  </si>
  <si>
    <t>893110219823</t>
  </si>
  <si>
    <t>840110444723</t>
  </si>
  <si>
    <t>Laboratorios Normon, S.A.</t>
  </si>
  <si>
    <t>Tây Ban Nha</t>
  </si>
  <si>
    <t>Lọ thuốc tiêm đông khô: 36 tháng ; Ống dung môi pha tiêm: 60 tháng</t>
  </si>
  <si>
    <t>893110219923</t>
  </si>
  <si>
    <t>893110375523 (VD-31253-18) (CV gia hạn số 776/QĐ-QLD ngày 19/10/2023)</t>
  </si>
  <si>
    <t>VN-23102-22</t>
  </si>
  <si>
    <t>Ever Pharma Jena GmbH</t>
  </si>
  <si>
    <t>QLSP-1088-18 (Có QĐ gia hạn số 302/QĐ-QLD ngày 27/04/2023)</t>
  </si>
  <si>
    <t>CSSX ống thuốc: Lilly France; Cơ sở lắp ráp, đóng gói bút tiêm Kwikpen: Eli Lilly and Company</t>
  </si>
  <si>
    <t>CSSX ống thuốc: Pháp; Cơ sở lắp ráp, đóng gói bút tiêm Kwikpen: Mỹ</t>
  </si>
  <si>
    <t>Bút tiêm</t>
  </si>
  <si>
    <t>300410177600</t>
  </si>
  <si>
    <t>CSSX ống thuốc: Pháp; Cơ sở lắp ráp, đóng gói bút tiêm Kwikpen: Hoa Kỳ</t>
  </si>
  <si>
    <t>590410647424</t>
  </si>
  <si>
    <t>Bioton S.A.</t>
  </si>
  <si>
    <t>Ba Lan</t>
  </si>
  <si>
    <t>400110179525</t>
  </si>
  <si>
    <t>Berlin-Chemie AG (Cơ sở đóng gói và xuất xưởng: Berlin-Chemie AG)</t>
  </si>
  <si>
    <t>893410323825 (QLSP-0776-14)</t>
  </si>
  <si>
    <t>Viện Vắc xin và Sinh phẩm Y tế (IVAC)</t>
  </si>
  <si>
    <t>893410323925 (QLSP-0777-14)</t>
  </si>
  <si>
    <t>24 tháng, kể từ ngày cơ sở sản xuất thực hiện thử nghiệm công hiệu cho kết quả có giá trị</t>
  </si>
  <si>
    <t>893410250823 (QLSP-1037-17)</t>
  </si>
  <si>
    <t>VN-15471-12</t>
  </si>
  <si>
    <t>Dr. Gerhard Mann Chem.- Pharm. Fabrik GmbH</t>
  </si>
  <si>
    <t>VN-18326-14</t>
  </si>
  <si>
    <t>Bausch &amp; Lomb Incorporated</t>
  </si>
  <si>
    <t>Mỹ</t>
  </si>
  <si>
    <t>893110255323 (VD-29650-18)</t>
  </si>
  <si>
    <t>594110298525</t>
  </si>
  <si>
    <t>Antibiotice SA</t>
  </si>
  <si>
    <t>Romania</t>
  </si>
  <si>
    <t>893110017000</t>
  </si>
  <si>
    <t>Công ty Cổ phần Dược phẩm An Thiên</t>
  </si>
  <si>
    <t>400100014224 (VN-20293-17)</t>
  </si>
  <si>
    <t>Medice Arzneimittel Pütter GmbH &amp; Co. KG</t>
  </si>
  <si>
    <t>893100353923</t>
  </si>
  <si>
    <t>VN-18814-15</t>
  </si>
  <si>
    <t>Vantive Manufacturing Pte.Ltd</t>
  </si>
  <si>
    <t>Singapore</t>
  </si>
  <si>
    <t>893112102100</t>
  </si>
  <si>
    <t>Chi nhánh công ty cổ phần dược phẩm Trung ương Vidipha Bình Dương</t>
  </si>
  <si>
    <t>893110627524</t>
  </si>
  <si>
    <t>Công ty Cổ Phần Dược Phẩm 2/9</t>
  </si>
  <si>
    <t>599100133424 (VN-21152-18)</t>
  </si>
  <si>
    <t>VN-18161-14</t>
  </si>
  <si>
    <t>VN-22744-21</t>
  </si>
  <si>
    <t>880110015725 (VN-21298-18)</t>
  </si>
  <si>
    <t>JW Life Science Corporation</t>
  </si>
  <si>
    <t>893110453623</t>
  </si>
  <si>
    <t>Công ty Cổ Phần Dược Phẩm Otsuka Việt Nam</t>
  </si>
  <si>
    <t>VN-19792-16</t>
  </si>
  <si>
    <t>893110238000 (VD-28252-17)</t>
  </si>
  <si>
    <t>893110071400 (VD-25376-16)</t>
  </si>
  <si>
    <t>Công ty Cổ phần dược phẩm Otsuka Việt Nam</t>
  </si>
  <si>
    <t>893110089124</t>
  </si>
  <si>
    <t>Công ty Cổ phần Xuất nhập khẩu Y tế DOMESCO</t>
  </si>
  <si>
    <t>VN-19998-16</t>
  </si>
  <si>
    <t>T.P. Drug Laboratories (1969) Co., Ltd.</t>
  </si>
  <si>
    <t>Thailand</t>
  </si>
  <si>
    <t>893100427524 (VD-30758-18)</t>
  </si>
  <si>
    <t>893110071600 (VD-22507-15)</t>
  </si>
  <si>
    <t>Công ty cổ phần Dược phẩm Phương Đông</t>
  </si>
  <si>
    <t>500110088623</t>
  </si>
  <si>
    <t>Glaxo Operations UK Limited (trading as Glaxo Wellcome Operations)</t>
  </si>
  <si>
    <t>UK</t>
  </si>
  <si>
    <t>500110439823</t>
  </si>
  <si>
    <t>Glaxo Operations UK Ltd (trading as Glaxo Wellcome Operations)</t>
  </si>
  <si>
    <t>Anh</t>
  </si>
  <si>
    <t>300110445423</t>
  </si>
  <si>
    <t>AstraZeneca Dunkerque Production</t>
  </si>
  <si>
    <t>Bình</t>
  </si>
  <si>
    <t>760410037323</t>
  </si>
  <si>
    <t>Cilag AG</t>
  </si>
  <si>
    <t>Thụy Sỹ</t>
  </si>
  <si>
    <t>VN-18480-14</t>
  </si>
  <si>
    <t>Dragenopharm Apotheker Püschl GmbH</t>
  </si>
  <si>
    <t>570410174600</t>
  </si>
  <si>
    <t>Cơ sở sản xuất bán thành phẩm, đóng gói sơ cấp, xuất xưởng lô: Novo Nordisk A/S (Địa chỉ: Novo Alle 1, 2880 Bagsvaerd, Đan Mạch); Cơ sở đóng gói thứ cấp: Novo Nordisk A/S (Địa chỉ: Brennum Park 1, 3400 Hilleroed, Đan Mạch)</t>
  </si>
  <si>
    <t>Đan Mạch</t>
  </si>
  <si>
    <t>VN-21368-18</t>
  </si>
  <si>
    <t>Bayer AG</t>
  </si>
  <si>
    <t>VN-19769-16 (Có QĐ gia hạn số 573/QĐ-QLD ngày 23/09/2022)</t>
  </si>
  <si>
    <t>Allergan Pharmaceuticals Ireland</t>
  </si>
  <si>
    <t>400410179400 (SP3-1236-22)</t>
  </si>
  <si>
    <t>Sanofi-Aventis Deutschland GmbH</t>
  </si>
  <si>
    <t>800110436023</t>
  </si>
  <si>
    <t>Novartis Farma SpA</t>
  </si>
  <si>
    <t>Ý</t>
  </si>
  <si>
    <t>800110436123</t>
  </si>
  <si>
    <t>800110436223</t>
  </si>
  <si>
    <t>1 tháng</t>
  </si>
  <si>
    <t>880116302125</t>
  </si>
  <si>
    <t>Sam Young Unitech Co., Ltd</t>
  </si>
  <si>
    <t>mCi</t>
  </si>
  <si>
    <t>Nhóm 4</t>
  </si>
  <si>
    <t>Nhóm 5</t>
  </si>
  <si>
    <t>Nhóm 1</t>
  </si>
  <si>
    <t>Nhóm 3</t>
  </si>
  <si>
    <t>Nhóm 2</t>
  </si>
  <si>
    <t>449/QĐ-BVĐN</t>
  </si>
  <si>
    <t>CÔNG TY CỔ PHẦN DƯỢC PHẨM TRUNG ƯƠNG CPC1</t>
  </si>
  <si>
    <t>CÔNG TY CỔ PHẦN DƯỢC PHẨM TRUNG ƯƠNG CODUPHA</t>
  </si>
  <si>
    <t>CÔNG TY CỔ PHẦN DƯỢC - THIẾT BỊ Y TẾ ĐÀ NẴNG</t>
  </si>
  <si>
    <t>CÔNG TY CỔ PHẦN DƯỢC PHẨM VĨNH PHÚC</t>
  </si>
  <si>
    <t>CÔNG TY CỔ PHẦN DƯỢC LIỆU TRUNG ƯƠNG 2</t>
  </si>
  <si>
    <t>CÔNG TY TNHH DP-TBYT BẢO MINH</t>
  </si>
  <si>
    <t>CÔNG TY TNHH THƯƠNG MẠI &amp; DƯỢC PHẨM TÂM TOÀN PHÁT</t>
  </si>
  <si>
    <t>CÔNG TY CP DƯỢC PHẨM AGIMEXPHARM</t>
  </si>
  <si>
    <t>CÔNG TY TNHH DƯỢC PHẨM VÀ TRANG THIẾT BỊ Y TẾ HOÀNG ĐỨC</t>
  </si>
  <si>
    <t>CÔNG TY CỔ PHẦN DƯỢC DANAPHA</t>
  </si>
  <si>
    <t>CÔNG TY TRÁCH NHIỆM HỮU HẠN DƯỢC PHẨM HỒNG LAN</t>
  </si>
  <si>
    <t>CÔNG TY TNHH DƯỢC PHẨM ANH NGUYÊN ĐỨC</t>
  </si>
  <si>
    <t>CÔNG TY TNHH THƯƠNG MẠI DƯỢC PHẨM NGUYỄN DƯƠNG</t>
  </si>
  <si>
    <t>CÔNG TY TNHH BÌNH VIỆT ĐỨC</t>
  </si>
  <si>
    <t>CÔNG TY TNHH KENKO PHARMA</t>
  </si>
  <si>
    <t>LIÊN DANH MEDIPHARCO VÀ LƯƠNG ANH</t>
  </si>
  <si>
    <t>CÔNG TY CỔ PHẦN BẢO TOÀN PHARMA</t>
  </si>
  <si>
    <t>CÔNG TY CỔ PHẦN VILOGI</t>
  </si>
  <si>
    <t>CÔNG TY TNHH DƯỢC PHẨM VIHAPHA</t>
  </si>
  <si>
    <t>CÔNG TY CỔ PHẦN DƯỢC PHẨM NAM HÀ</t>
  </si>
  <si>
    <t>CÔNG TY CỔ PHẦN DƯỢC - TRANG THIẾT BỊ Y TẾ BÌNH ĐỊNH (BIDIPHAR)</t>
  </si>
  <si>
    <t>CÔNG TY TNHH BIONAM</t>
  </si>
  <si>
    <t>CÔNG TY CỔ PHẦN VILLA-VILLA</t>
  </si>
  <si>
    <t>CÔNG TY TNHH DƯỢC PHẨM VIỆT - PHÁP</t>
  </si>
  <si>
    <t>CÔNG TY CỔ PHẦN MEDCOMTECH</t>
  </si>
  <si>
    <t>CÔNG TY TNHH THƯƠNG MẠI DƯỢC PHẨM MINH TÍN</t>
  </si>
  <si>
    <t>CÔNG TY TNHH THƯƠNG MẠI DƯỢC PHẨM ENDOPHACO</t>
  </si>
  <si>
    <t>CÔNG TY TNHH DƯỢC PHẨM ĐÔNG ĐÔ</t>
  </si>
  <si>
    <t>CÔNG TY TNHH DƯỢC PHẨM TỨ HƯNG</t>
  </si>
  <si>
    <t>CÔNG TY CỔ PHẦN Y DƯỢC VSK</t>
  </si>
  <si>
    <t>CÔNG TY TNHH DƯỢC PHẨM VIỆT ĐỨC</t>
  </si>
  <si>
    <t>CÔNG TY TNHH TRANG THIẾT BỊ Y TẾ VÀ DƯỢC PHẨM NGUYÊN PHÁT</t>
  </si>
  <si>
    <t>CÔNG TY TNHH MỘT THÀNH VIÊN DƯỢC SÀI GÒN</t>
  </si>
  <si>
    <t>CÔNG TY CỔ PHẦN DƯỢC PHẨM BẾN TRE</t>
  </si>
  <si>
    <t>CÔNG TY TNHH TM DƯỢC PHẨM KHANG TÍN</t>
  </si>
  <si>
    <t>CÔNG TY TNHH DƯỢC PHẨM HELIOS</t>
  </si>
  <si>
    <t>CÔNG TY TNHH MEDI GOLDEN</t>
  </si>
  <si>
    <t>CÔNG TY CỔ PHẦN DƯỢC PHẨM CPC1 HÀ NỘI</t>
  </si>
  <si>
    <t>CÔNG TY TNHH DƯỢC PHẨM TRUNG VIỆT</t>
  </si>
  <si>
    <t>Công ty TNHH Dược phẩm Nufamed</t>
  </si>
  <si>
    <t>CÔNG TY CỔ PHẦN DƯỢC PHẨM TƯỜNG KHUÊ</t>
  </si>
  <si>
    <t>CÔNG TY TNHH THƯƠNG MẠI DƯỢC PHẨM ĐAN THANH</t>
  </si>
  <si>
    <t>CÔNG TY CỔ PHẦN DƯỢC PHẨM KHÁNH HÀ</t>
  </si>
  <si>
    <t>CÔNG TY TNHH DƯỢC PHẨM ATIPHARM</t>
  </si>
  <si>
    <t>CÔNG TY CỔ PHẦN THƯƠNG MẠI VÀ DƯỢC PHẨM TÂN THÀNH</t>
  </si>
  <si>
    <t>CÔNG TY TNHH DƯỢC PHẨM HUY THỊNH</t>
  </si>
  <si>
    <t>CÔNG TY CỔ PHẦN DƯỢC PHẨM QUỐC TẾ - UK PHARMA</t>
  </si>
  <si>
    <t>CÔNG TY CP XUẤT NHẬP KHẨU Y TẾ DOMESCO</t>
  </si>
  <si>
    <t>CÔNG TY CỔ PHẦN PHARMATOPES VIỆT NAM</t>
  </si>
  <si>
    <t>Căn cứ Quyết định số 165/QĐ-TTMS ngày 29 tháng 12 năm 2025 của Giám đốc Trung tâm mua sắm tập trung thuốc quốc gia về việc phê duyệt kết quả lựa chọn nhà thầu qua mạng gói thầu cung cấp thuốc cho các cơ sở y tế giai đoạn 2024-2026 đợt 3 (Mã hiệu: ĐTTT.2025.1) thuộc Kế hoạch lựa chọn nhà thầu cung cấp thuốc thuộc danh mục đấu thầu tập trung cấp quốc gia giai doạn 2024-2026 do Trung tâm Mua sắm tập trung thuốc Quốc gia thực hiện đợt 3, trong đó:
- Danh mục thuốc gồm 01 thuốc, sử dụng cho Bệnh viện Đà Nẵng.
- Loại hợp đồng: Hợp đồng theo đơn giá cố định.
- Thời gian thực hiện hợp đồng: 12 tháng.
- Nguồn vốn: Nguồn quỹ bảo hiểm y tế, ngân sách nhà nước, nguồn thu từ dịch vụ khám bệnh, chữa bệnh và nguồn thu hợp pháp khác của cơ sở y tế.
Căn cứ Quyết định số 449/QĐ-BVĐN ngày 30 tháng 03 năm 2026 của Giám đốc Bệnh viện Đà Nẵng về việc phê duyệt kết quả lựa chọn nhà thầu qua mạng Gói thầu thuốc generic (Gồm 161 danh mục) thuộc kế hoạch lựa chọn nhà thầu dự toán mua sắm Mua bổ sung thuốc generic 12 tháng cho Bệnh viện Đà Nẵng năm 2026 thuộc dự toán mua sắm Mua bổ sung thuốc generic 12 tháng cho Bệnh viện Đà Nẵng năm 2026
- Danh mục thuốc gồm 119 thuốc, sử dụng cho Bệnh viện Đà Nẵng.
- Loại hợp đồng: Hợp đồng theo đơn giá cố định.
- Thời gian thực hiện hợp đồng: 12 tháng từ ngày hợp đồng có hiệu lực.
- Nguồn vốn: Nguồn ngân sách nhà nước, nguồn thu hoạt động sự nghiệp của Bệnh viện Đà Nẵng.</t>
  </si>
  <si>
    <t>3.1</t>
  </si>
  <si>
    <t>3.2</t>
  </si>
  <si>
    <t>3.3</t>
  </si>
  <si>
    <t>Clopalvix</t>
  </si>
  <si>
    <t>Clopidogrel (tương đương clopidogrel bisulfat 97,86mg)</t>
  </si>
  <si>
    <t>Hộp 05 vỉ x 14 viên</t>
  </si>
  <si>
    <t>893110657224</t>
  </si>
  <si>
    <t>Công ty cổ phần dược phẩm Boston Việt Nam</t>
  </si>
  <si>
    <t>165/QĐ-TTMS</t>
  </si>
  <si>
    <t>PX.28</t>
  </si>
  <si>
    <t>Ngoài TT20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</si>
</sst>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_);\(0\)"/>
  </numFmts>
  <fonts count="14" x14ac:knownFonts="1">
    <font>
      <sz val="11"/>
      <color theme="1"/>
      <name val="Calibri"/>
      <family val="2"/>
      <scheme val="minor"/>
    </font>
    <font>
      <sz val="11"/>
      <name val="Calibri"/>
      <family val="2"/>
    </font>
    <font>
      <b/>
      <sz val="12"/>
      <name val="Times New Roman"/>
      <family val="1"/>
    </font>
    <font>
      <sz val="12"/>
      <name val="Times New Roman"/>
      <family val="1"/>
    </font>
    <font>
      <sz val="11"/>
      <color indexed="8"/>
      <name val="Calibri"/>
      <family val="2"/>
    </font>
    <font>
      <sz val="11"/>
      <color theme="1"/>
      <name val="Calibri"/>
      <family val="2"/>
      <scheme val="minor"/>
    </font>
    <font>
      <sz val="11"/>
      <name val="Calibri"/>
      <family val="2"/>
      <charset val="163"/>
    </font>
    <font>
      <sz val="8"/>
      <name val="Calibri"/>
      <family val="2"/>
      <scheme val="minor"/>
    </font>
    <font>
      <sz val="12"/>
      <name val="Calibri"/>
      <family val="2"/>
      <scheme val="minor"/>
    </font>
    <font>
      <b/>
      <sz val="12"/>
      <name val="Calibri"/>
      <family val="2"/>
      <scheme val="minor"/>
    </font>
    <font>
      <i/>
      <sz val="12"/>
      <name val="Times New Roman"/>
      <family val="1"/>
    </font>
    <font>
      <sz val="10"/>
      <name val="Arial"/>
      <family val="2"/>
    </font>
    <font>
      <sz val="12"/>
      <color theme="1"/>
      <name val="Times New Roman"/>
      <family val="1"/>
    </font>
    <font>
      <b/>
      <sz val="12"/>
      <color theme="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7">
    <xf numFmtId="0" fontId="0" fillId="0" borderId="0"/>
    <xf numFmtId="0" fontId="1" fillId="0" borderId="0"/>
    <xf numFmtId="0" fontId="4" fillId="0" borderId="0" applyFont="0" applyFill="0" applyBorder="0" applyAlignment="0" applyProtection="0"/>
    <xf numFmtId="0" fontId="6" fillId="0" borderId="0"/>
    <xf numFmtId="0" fontId="5" fillId="0" borderId="0"/>
    <xf numFmtId="0" fontId="11" fillId="0" borderId="0"/>
    <xf numFmtId="164" fontId="5" fillId="0" borderId="0" applyFont="0" applyFill="0" applyBorder="0" applyAlignment="0" applyProtection="0"/>
  </cellStyleXfs>
  <cellXfs count="42">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1" xfId="0" applyFont="1" applyBorder="1" applyAlignment="1">
      <alignment vertical="center" wrapText="1"/>
    </xf>
    <xf numFmtId="0" fontId="9" fillId="0" borderId="0" xfId="0" applyFont="1" applyAlignment="1">
      <alignment horizontal="center" vertical="center" wrapText="1"/>
    </xf>
    <xf numFmtId="0" fontId="8"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center" vertical="center" wrapText="1"/>
    </xf>
    <xf numFmtId="3" fontId="3" fillId="0" borderId="0" xfId="0" applyNumberFormat="1" applyFont="1" applyAlignment="1">
      <alignment vertical="center"/>
    </xf>
    <xf numFmtId="3" fontId="3" fillId="0" borderId="0" xfId="0" applyNumberFormat="1" applyFont="1" applyAlignment="1">
      <alignment horizontal="center" vertical="center"/>
    </xf>
    <xf numFmtId="0" fontId="3" fillId="0" borderId="0" xfId="0" applyFont="1" applyAlignment="1">
      <alignment horizontal="left" vertical="center" wrapText="1"/>
    </xf>
    <xf numFmtId="0" fontId="2" fillId="0" borderId="1" xfId="1" applyFont="1" applyBorder="1" applyAlignment="1">
      <alignment horizontal="center" vertical="center" wrapText="1"/>
    </xf>
    <xf numFmtId="3" fontId="2" fillId="0" borderId="2" xfId="1" applyNumberFormat="1" applyFont="1" applyBorder="1" applyAlignment="1">
      <alignment horizontal="center" vertical="center" wrapText="1"/>
    </xf>
    <xf numFmtId="3" fontId="2" fillId="0" borderId="1" xfId="1"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vertical="center" wrapText="1"/>
    </xf>
    <xf numFmtId="0" fontId="10" fillId="0" borderId="0" xfId="0" applyFont="1" applyAlignment="1">
      <alignment vertical="center"/>
    </xf>
    <xf numFmtId="0" fontId="10" fillId="0" borderId="0" xfId="0" applyFont="1" applyAlignment="1">
      <alignment vertical="center" wrapText="1"/>
    </xf>
    <xf numFmtId="0" fontId="3" fillId="0" borderId="1" xfId="0" applyFont="1" applyBorder="1" applyAlignment="1">
      <alignment horizontal="left" vertical="center" wrapText="1"/>
    </xf>
    <xf numFmtId="0" fontId="12" fillId="0" borderId="0" xfId="0" applyFont="1"/>
    <xf numFmtId="0" fontId="12" fillId="0" borderId="1" xfId="0" quotePrefix="1" applyFont="1" applyBorder="1" applyAlignment="1">
      <alignment vertical="top" wrapText="1"/>
    </xf>
    <xf numFmtId="0" fontId="12" fillId="0" borderId="1" xfId="0" applyFont="1" applyBorder="1" applyAlignment="1">
      <alignment vertical="top" wrapText="1"/>
    </xf>
    <xf numFmtId="0" fontId="12" fillId="0" borderId="0" xfId="0" applyFont="1" applyAlignment="1">
      <alignment horizontal="center"/>
    </xf>
    <xf numFmtId="0" fontId="12" fillId="0" borderId="1" xfId="0" applyFont="1" applyBorder="1" applyAlignment="1">
      <alignment horizontal="center" vertical="top" wrapText="1"/>
    </xf>
    <xf numFmtId="0" fontId="13" fillId="0" borderId="1" xfId="0" applyFont="1" applyBorder="1" applyAlignment="1">
      <alignment horizontal="center" vertical="center"/>
    </xf>
    <xf numFmtId="0" fontId="13" fillId="0" borderId="0" xfId="0" applyFont="1" applyAlignment="1">
      <alignment horizontal="center" vertical="center"/>
    </xf>
    <xf numFmtId="3" fontId="3" fillId="0" borderId="1" xfId="0" applyNumberFormat="1" applyFont="1" applyBorder="1" applyAlignment="1">
      <alignment horizontal="center" vertical="center" wrapText="1"/>
    </xf>
    <xf numFmtId="3" fontId="3" fillId="0" borderId="1" xfId="0" applyNumberFormat="1" applyFont="1" applyBorder="1" applyAlignment="1">
      <alignment vertical="center" wrapText="1"/>
    </xf>
    <xf numFmtId="0" fontId="13" fillId="0" borderId="1" xfId="0" applyFont="1" applyBorder="1" applyAlignment="1">
      <alignment horizontal="center" vertical="center" wrapText="1"/>
    </xf>
    <xf numFmtId="3" fontId="10" fillId="0" borderId="1" xfId="0" applyNumberFormat="1" applyFont="1" applyBorder="1" applyAlignment="1">
      <alignment horizontal="center" vertical="center" wrapText="1"/>
    </xf>
    <xf numFmtId="0" fontId="12" fillId="0" borderId="1" xfId="0" quotePrefix="1" applyFont="1" applyBorder="1" applyAlignment="1">
      <alignment horizontal="center" vertical="top" wrapText="1"/>
    </xf>
    <xf numFmtId="0" fontId="3"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left"/>
    </xf>
    <xf numFmtId="165" fontId="3" fillId="0" borderId="1" xfId="0" applyNumberFormat="1" applyFont="1" applyBorder="1" applyAlignment="1">
      <alignment horizontal="left" vertical="center"/>
    </xf>
    <xf numFmtId="0" fontId="3" fillId="0" borderId="1" xfId="1" applyFont="1" applyBorder="1" applyAlignment="1">
      <alignment horizontal="center" vertical="center" wrapText="1"/>
    </xf>
    <xf numFmtId="3" fontId="3" fillId="0" borderId="1" xfId="1" applyNumberFormat="1" applyFont="1" applyBorder="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xf>
    <xf numFmtId="0" fontId="10" fillId="0" borderId="0" xfId="0" applyFont="1" applyAlignment="1">
      <alignment horizontal="center" vertical="center"/>
    </xf>
    <xf numFmtId="3" fontId="3" fillId="0" borderId="2" xfId="1" applyNumberFormat="1" applyFont="1" applyBorder="1" applyAlignment="1">
      <alignment horizontal="center" vertical="center" wrapText="1"/>
    </xf>
  </cellXfs>
  <cellStyles count="7">
    <cellStyle name="Comma 100 2" xfId="6" xr:uid="{00000000-0005-0000-0000-000000000000}"/>
    <cellStyle name="Comma 12 3" xfId="2" xr:uid="{00000000-0005-0000-0000-000001000000}"/>
    <cellStyle name="Normal" xfId="0" builtinId="0"/>
    <cellStyle name="Normal 11" xfId="5" xr:uid="{00000000-0005-0000-0000-000003000000}"/>
    <cellStyle name="Normal 2" xfId="3" xr:uid="{00000000-0005-0000-0000-000004000000}"/>
    <cellStyle name="Normal 2 4" xfId="4" xr:uid="{00000000-0005-0000-0000-000005000000}"/>
    <cellStyle name="Normal 3 6" xfId="1" xr:uid="{00000000-0005-0000-0000-000006000000}"/>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D&#431;&#7906;C\TH&#7846;U%20449\Ph&#7909;%20l&#7909;c%20g&#7889;c%20TT20.xlsx" TargetMode="External"/><Relationship Id="rId1" Type="http://schemas.openxmlformats.org/officeDocument/2006/relationships/externalLinkPath" Target="Ph&#7909;%20l&#7909;c%20g&#7889;c%20TT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ĐIỀU CHỈNH"/>
      <sheetName val="GỐC"/>
      <sheetName val="Sheet3"/>
      <sheetName val="Sheet2"/>
      <sheetName val="Sheet1"/>
    </sheetNames>
    <sheetDataSet>
      <sheetData sheetId="0"/>
      <sheetData sheetId="1">
        <row r="4">
          <cell r="B4" t="str">
            <v>STT TT20/2022/TT-BYT</v>
          </cell>
          <cell r="C4" t="str">
            <v>Tên hoạt chất (Theo TT20/2022/TT-BYT)</v>
          </cell>
          <cell r="D4" t="str">
            <v>Đường dùng, dạng dùng (Theo TT20/2022/TT-BYT)</v>
          </cell>
          <cell r="E4" t="str">
            <v>Quy định thanh toán nguồn BHYT trước đây (Theo TT30/2018/TT-BYT)</v>
          </cell>
          <cell r="F4" t="str">
            <v>Lưu ý khi kê đơn</v>
          </cell>
        </row>
        <row r="6">
          <cell r="B6">
            <v>1</v>
          </cell>
          <cell r="C6" t="str">
            <v>Atropin sulfat</v>
          </cell>
          <cell r="D6" t="str">
            <v>Tiêm/truyền</v>
          </cell>
        </row>
        <row r="7">
          <cell r="B7">
            <v>2</v>
          </cell>
          <cell r="C7" t="str">
            <v>Bupivacain hydroclorid</v>
          </cell>
          <cell r="D7" t="str">
            <v>Tiêm/truyền</v>
          </cell>
        </row>
        <row r="8">
          <cell r="B8">
            <v>3</v>
          </cell>
          <cell r="C8" t="str">
            <v>Desfluran</v>
          </cell>
          <cell r="D8" t="str">
            <v>Hô hấp</v>
          </cell>
        </row>
        <row r="9">
          <cell r="B9">
            <v>4</v>
          </cell>
          <cell r="C9" t="str">
            <v>Dexmedetomidin</v>
          </cell>
          <cell r="D9" t="str">
            <v>Tiêm</v>
          </cell>
        </row>
        <row r="10">
          <cell r="B10">
            <v>5</v>
          </cell>
          <cell r="C10" t="str">
            <v>Diazepam</v>
          </cell>
          <cell r="D10" t="str">
            <v>Tiêm/truyền</v>
          </cell>
        </row>
        <row r="11">
          <cell r="B11">
            <v>6</v>
          </cell>
          <cell r="C11" t="str">
            <v>Etomidat</v>
          </cell>
          <cell r="D11" t="str">
            <v>Tiêm/truyền</v>
          </cell>
        </row>
        <row r="12">
          <cell r="B12">
            <v>7</v>
          </cell>
          <cell r="C12" t="str">
            <v>Fentanyl</v>
          </cell>
          <cell r="D12" t="str">
            <v>Tiêm/truyền</v>
          </cell>
        </row>
        <row r="13">
          <cell r="B13">
            <v>8</v>
          </cell>
          <cell r="C13" t="str">
            <v>Halothan</v>
          </cell>
          <cell r="D13" t="str">
            <v>Đường hô hấp</v>
          </cell>
        </row>
        <row r="14">
          <cell r="B14">
            <v>9</v>
          </cell>
          <cell r="C14" t="str">
            <v>Isofluran</v>
          </cell>
          <cell r="D14" t="str">
            <v>Đường hô hấp</v>
          </cell>
        </row>
        <row r="15">
          <cell r="B15">
            <v>10</v>
          </cell>
          <cell r="C15" t="str">
            <v>Ketamin</v>
          </cell>
          <cell r="D15" t="str">
            <v>Tiêm/truyền</v>
          </cell>
        </row>
        <row r="16">
          <cell r="B16">
            <v>11</v>
          </cell>
          <cell r="C16" t="str">
            <v>Levobupivacain</v>
          </cell>
          <cell r="D16" t="str">
            <v>Tiêm/truyền</v>
          </cell>
        </row>
        <row r="17">
          <cell r="B17">
            <v>12</v>
          </cell>
          <cell r="C17" t="str">
            <v>Lidocain hydroclodrid</v>
          </cell>
          <cell r="D17" t="str">
            <v>Tiêm, dùng ngoài, khí dung</v>
          </cell>
        </row>
        <row r="18">
          <cell r="B18">
            <v>13</v>
          </cell>
          <cell r="C18" t="str">
            <v>Lidocain + epinephrin (adrenalin)</v>
          </cell>
          <cell r="D18" t="str">
            <v>Tiêm/truyền</v>
          </cell>
        </row>
        <row r="19">
          <cell r="B19">
            <v>14</v>
          </cell>
          <cell r="C19" t="str">
            <v>Lidocain + prilocain</v>
          </cell>
          <cell r="D19" t="str">
            <v>Dùng ngoài</v>
          </cell>
        </row>
        <row r="20">
          <cell r="B20">
            <v>15</v>
          </cell>
          <cell r="C20" t="str">
            <v>Midazolam</v>
          </cell>
          <cell r="D20" t="str">
            <v>Tiêm/truyền</v>
          </cell>
        </row>
        <row r="21">
          <cell r="B21">
            <v>16</v>
          </cell>
          <cell r="C21" t="str">
            <v>Morphin</v>
          </cell>
          <cell r="D21" t="str">
            <v>Tiêm/truyền</v>
          </cell>
        </row>
        <row r="22">
          <cell r="B22">
            <v>17</v>
          </cell>
          <cell r="C22" t="str">
            <v>Oxy dược dụng</v>
          </cell>
          <cell r="D22" t="str">
            <v>Đường hô hấp, dạng khí lỏng hoặc nén</v>
          </cell>
        </row>
        <row r="23">
          <cell r="B23">
            <v>18</v>
          </cell>
          <cell r="C23" t="str">
            <v>Pethidin</v>
          </cell>
          <cell r="D23" t="str">
            <v>Tiêm/truyền</v>
          </cell>
        </row>
        <row r="24">
          <cell r="B24">
            <v>19</v>
          </cell>
          <cell r="C24" t="str">
            <v xml:space="preserve"> Procain hydroclorid</v>
          </cell>
          <cell r="D24" t="str">
            <v>Tiêm</v>
          </cell>
        </row>
        <row r="25">
          <cell r="B25">
            <v>20</v>
          </cell>
          <cell r="C25" t="str">
            <v>Proparacain hydroclorid</v>
          </cell>
          <cell r="D25" t="str">
            <v>Nhỏ mắt</v>
          </cell>
        </row>
        <row r="26">
          <cell r="B26">
            <v>21</v>
          </cell>
          <cell r="C26" t="str">
            <v>Propofol</v>
          </cell>
          <cell r="D26" t="str">
            <v>Tiêm/truyền</v>
          </cell>
        </row>
        <row r="27">
          <cell r="B27">
            <v>22</v>
          </cell>
          <cell r="C27" t="str">
            <v>Ropivacain hydroclorid</v>
          </cell>
          <cell r="D27" t="str">
            <v>Tiêm/truyền</v>
          </cell>
        </row>
        <row r="28">
          <cell r="B28">
            <v>23</v>
          </cell>
          <cell r="C28" t="str">
            <v>Sevofluran</v>
          </cell>
          <cell r="D28" t="str">
            <v>Hô hấp</v>
          </cell>
        </row>
        <row r="29">
          <cell r="B29">
            <v>24</v>
          </cell>
          <cell r="C29" t="str">
            <v>Sufentanil</v>
          </cell>
          <cell r="D29" t="str">
            <v>Tiêm</v>
          </cell>
        </row>
        <row r="30">
          <cell r="B30">
            <v>25</v>
          </cell>
          <cell r="C30" t="str">
            <v>Thiopental (muối natri)</v>
          </cell>
          <cell r="D30" t="str">
            <v>Tiêm</v>
          </cell>
        </row>
        <row r="31">
          <cell r="B31">
            <v>26</v>
          </cell>
          <cell r="C31" t="str">
            <v>Atracurium besylat</v>
          </cell>
          <cell r="D31" t="str">
            <v>Tiêm/truyền</v>
          </cell>
        </row>
        <row r="32">
          <cell r="B32">
            <v>27</v>
          </cell>
          <cell r="C32" t="str">
            <v>Neostigmin metylsulfat (bromid)</v>
          </cell>
          <cell r="D32" t="str">
            <v>Tiêm/truyền</v>
          </cell>
        </row>
        <row r="33">
          <cell r="B33">
            <v>28</v>
          </cell>
          <cell r="C33" t="str">
            <v>Pancuronium bromid</v>
          </cell>
          <cell r="D33" t="str">
            <v>Tiêm</v>
          </cell>
        </row>
        <row r="34">
          <cell r="B34">
            <v>29</v>
          </cell>
          <cell r="C34" t="str">
            <v>Pipecuronium bromid</v>
          </cell>
          <cell r="D34" t="str">
            <v>Tiêm</v>
          </cell>
        </row>
        <row r="35">
          <cell r="B35">
            <v>30</v>
          </cell>
          <cell r="C35" t="str">
            <v>Rocuronium bromid</v>
          </cell>
          <cell r="D35" t="str">
            <v>Tiêm/truyền</v>
          </cell>
        </row>
        <row r="36">
          <cell r="B36">
            <v>31</v>
          </cell>
          <cell r="C36" t="str">
            <v>Suxamethonium clorid</v>
          </cell>
          <cell r="D36" t="str">
            <v>Tiêm</v>
          </cell>
        </row>
        <row r="37">
          <cell r="B37">
            <v>32</v>
          </cell>
          <cell r="C37" t="str">
            <v>Vecuronium bromid</v>
          </cell>
          <cell r="D37" t="str">
            <v>Tiêm</v>
          </cell>
        </row>
        <row r="38">
          <cell r="B38">
            <v>33</v>
          </cell>
          <cell r="C38" t="str">
            <v>Aceclofenac</v>
          </cell>
          <cell r="D38" t="str">
            <v>Uống</v>
          </cell>
        </row>
        <row r="39">
          <cell r="B39">
            <v>34</v>
          </cell>
          <cell r="C39" t="str">
            <v>Aescin</v>
          </cell>
          <cell r="D39" t="str">
            <v>Tiếm, uống</v>
          </cell>
        </row>
        <row r="40">
          <cell r="B40">
            <v>35</v>
          </cell>
          <cell r="C40" t="str">
            <v>Celecoxib</v>
          </cell>
          <cell r="D40" t="str">
            <v>Uống</v>
          </cell>
        </row>
        <row r="41">
          <cell r="B41">
            <v>36</v>
          </cell>
          <cell r="C41" t="str">
            <v>Dexibuprofen</v>
          </cell>
          <cell r="D41" t="str">
            <v>Uống</v>
          </cell>
        </row>
        <row r="42">
          <cell r="B42">
            <v>37</v>
          </cell>
          <cell r="C42" t="str">
            <v>Diclofenac</v>
          </cell>
          <cell r="D42" t="str">
            <v>Tiêm, nhỏ mắt, uống, dùng ngoài, đặt hậu môn</v>
          </cell>
        </row>
        <row r="43">
          <cell r="B43">
            <v>38</v>
          </cell>
          <cell r="C43" t="str">
            <v>Etodolac</v>
          </cell>
          <cell r="D43" t="str">
            <v>Uống</v>
          </cell>
        </row>
        <row r="44">
          <cell r="B44">
            <v>39</v>
          </cell>
          <cell r="C44" t="str">
            <v>Etoricoxib</v>
          </cell>
          <cell r="D44" t="str">
            <v>Uống</v>
          </cell>
        </row>
        <row r="45">
          <cell r="B45">
            <v>40</v>
          </cell>
          <cell r="C45" t="str">
            <v>Fentanyl</v>
          </cell>
          <cell r="D45" t="str">
            <v>Dán ngoài da</v>
          </cell>
          <cell r="E45" t="str">
            <v>Quỹ bảo hiểm y tế thanh toán điều trị giảm đau do ung thư.</v>
          </cell>
          <cell r="F45" t="str">
            <v>Quỹ bảo hiểm y tế thanh toán điều trị giảm đau do ung thư.</v>
          </cell>
        </row>
        <row r="46">
          <cell r="B46">
            <v>41</v>
          </cell>
          <cell r="C46" t="str">
            <v>Floctafenin</v>
          </cell>
          <cell r="D46" t="str">
            <v>Uống</v>
          </cell>
        </row>
        <row r="47">
          <cell r="B47">
            <v>42</v>
          </cell>
          <cell r="C47" t="str">
            <v>Flurbiprofen natri</v>
          </cell>
          <cell r="D47" t="str">
            <v>Uống, đặt</v>
          </cell>
        </row>
        <row r="48">
          <cell r="B48">
            <v>43</v>
          </cell>
          <cell r="C48" t="str">
            <v>Ibuprofen</v>
          </cell>
          <cell r="D48" t="str">
            <v>Uống</v>
          </cell>
        </row>
        <row r="49">
          <cell r="B49">
            <v>44</v>
          </cell>
          <cell r="C49" t="str">
            <v>Ibuprofen + Codein</v>
          </cell>
          <cell r="D49" t="str">
            <v>Uống</v>
          </cell>
        </row>
        <row r="50">
          <cell r="B50">
            <v>45</v>
          </cell>
          <cell r="C50" t="str">
            <v>Ketoprofen</v>
          </cell>
          <cell r="D50" t="str">
            <v>Tiêm, uống, nhỏ mắt</v>
          </cell>
        </row>
        <row r="51">
          <cell r="B51">
            <v>46</v>
          </cell>
          <cell r="C51" t="str">
            <v>Ketorolac</v>
          </cell>
          <cell r="D51" t="str">
            <v>Tiêm, uống, nhỏ mắt</v>
          </cell>
        </row>
        <row r="52">
          <cell r="B52">
            <v>47</v>
          </cell>
          <cell r="C52" t="str">
            <v>Loxoprofen</v>
          </cell>
          <cell r="D52" t="str">
            <v>Uống</v>
          </cell>
        </row>
        <row r="53">
          <cell r="B53">
            <v>48</v>
          </cell>
          <cell r="C53" t="str">
            <v>Meloxicam</v>
          </cell>
          <cell r="D53" t="str">
            <v>Tiêm/truyền, uống</v>
          </cell>
        </row>
        <row r="54">
          <cell r="B54">
            <v>49</v>
          </cell>
          <cell r="C54" t="str">
            <v>Methyl salicylat + dl-camphor + thymol + l-menthol + glycol salicylat + tocopherol acetat</v>
          </cell>
          <cell r="D54" t="str">
            <v>Dùng ngoài</v>
          </cell>
        </row>
        <row r="55">
          <cell r="B55">
            <v>50</v>
          </cell>
          <cell r="C55" t="str">
            <v xml:space="preserve">Morphin </v>
          </cell>
          <cell r="D55" t="str">
            <v>Uống</v>
          </cell>
        </row>
        <row r="56">
          <cell r="B56">
            <v>51</v>
          </cell>
          <cell r="C56" t="str">
            <v>Nabumeton</v>
          </cell>
          <cell r="D56" t="str">
            <v>Uống</v>
          </cell>
        </row>
        <row r="57">
          <cell r="B57">
            <v>52</v>
          </cell>
          <cell r="C57" t="str">
            <v>Naproxen</v>
          </cell>
          <cell r="D57" t="str">
            <v>Uống, đặt</v>
          </cell>
        </row>
        <row r="58">
          <cell r="B58">
            <v>53</v>
          </cell>
          <cell r="C58" t="str">
            <v>Naproxen + esomeprazol</v>
          </cell>
          <cell r="D58" t="str">
            <v>Uống</v>
          </cell>
        </row>
        <row r="59">
          <cell r="B59">
            <v>54</v>
          </cell>
          <cell r="C59" t="str">
            <v>Nefopam hydroclorid</v>
          </cell>
          <cell r="D59" t="str">
            <v>Tiêm/truyền</v>
          </cell>
        </row>
        <row r="60">
          <cell r="B60">
            <v>55</v>
          </cell>
          <cell r="C60" t="str">
            <v>Oxycodone</v>
          </cell>
          <cell r="D60" t="str">
            <v>Uống</v>
          </cell>
          <cell r="E60" t="str">
            <v>Quỹ bảo hiểm y tế thanh toán điều trị giảm đau do ung thư; thanh toán 50 %.</v>
          </cell>
          <cell r="F60" t="str">
            <v>Quỹ bảo hiểm y tế thanh toán điều trị giảm đau do ung thư; thanh toán 50 %.</v>
          </cell>
        </row>
        <row r="61">
          <cell r="B61">
            <v>56</v>
          </cell>
          <cell r="C61" t="str">
            <v>Paracetamol (acetaminophen)</v>
          </cell>
          <cell r="D61" t="str">
            <v>Tiêm, uống, đặt</v>
          </cell>
        </row>
        <row r="62">
          <cell r="B62">
            <v>57</v>
          </cell>
          <cell r="C62" t="str">
            <v>Paracetamol + chlorpheniramin</v>
          </cell>
          <cell r="D62" t="str">
            <v>Uống</v>
          </cell>
        </row>
        <row r="63">
          <cell r="B63">
            <v>58</v>
          </cell>
          <cell r="C63" t="str">
            <v>Paracetamol + codein phosphat</v>
          </cell>
          <cell r="D63" t="str">
            <v>Uống</v>
          </cell>
        </row>
        <row r="64">
          <cell r="B64">
            <v>59</v>
          </cell>
          <cell r="C64" t="str">
            <v>Paracetamol + diphenhydramin</v>
          </cell>
          <cell r="D64" t="str">
            <v>Uống</v>
          </cell>
        </row>
        <row r="65">
          <cell r="B65">
            <v>60</v>
          </cell>
          <cell r="C65" t="str">
            <v>Paracetamol + ibuprofen</v>
          </cell>
          <cell r="D65" t="str">
            <v>Uống</v>
          </cell>
        </row>
        <row r="66">
          <cell r="B66">
            <v>61</v>
          </cell>
          <cell r="C66" t="str">
            <v>Paracetamol + methocarbamol</v>
          </cell>
          <cell r="D66" t="str">
            <v>Uống</v>
          </cell>
        </row>
        <row r="67">
          <cell r="B67">
            <v>62</v>
          </cell>
          <cell r="C67" t="str">
            <v>Paracetamol + phenylephrin</v>
          </cell>
          <cell r="D67" t="str">
            <v>Uống</v>
          </cell>
        </row>
        <row r="68">
          <cell r="B68">
            <v>63</v>
          </cell>
          <cell r="C68" t="str">
            <v>Paracetamol + pseudoephedrin</v>
          </cell>
          <cell r="D68" t="str">
            <v>Uống</v>
          </cell>
        </row>
        <row r="69">
          <cell r="B69">
            <v>64</v>
          </cell>
          <cell r="C69" t="str">
            <v>Paracetamol + tramadol</v>
          </cell>
          <cell r="D69" t="str">
            <v>Uống</v>
          </cell>
        </row>
        <row r="70">
          <cell r="B70">
            <v>65</v>
          </cell>
          <cell r="C70" t="str">
            <v>Paracetamol + chlorpheniramin + dextromethorphan</v>
          </cell>
          <cell r="D70" t="str">
            <v>Uống</v>
          </cell>
        </row>
        <row r="71">
          <cell r="B71">
            <v>66</v>
          </cell>
          <cell r="C71" t="str">
            <v>Paracetamol + chlorpheniramin + phenylephrin</v>
          </cell>
          <cell r="D71" t="str">
            <v>Uống</v>
          </cell>
        </row>
        <row r="72">
          <cell r="B72">
            <v>67</v>
          </cell>
          <cell r="C72" t="str">
            <v>Paracetamol + chlorpheniramin + pseudoephedrin</v>
          </cell>
          <cell r="D72" t="str">
            <v>Uống</v>
          </cell>
        </row>
        <row r="73">
          <cell r="B73">
            <v>68</v>
          </cell>
          <cell r="C73" t="str">
            <v>Paracetamol + diphenhydramin + phenylephrin</v>
          </cell>
          <cell r="D73" t="str">
            <v>Uống</v>
          </cell>
        </row>
        <row r="74">
          <cell r="B74">
            <v>69</v>
          </cell>
          <cell r="C74" t="str">
            <v>Paracetamol + phenylephrin + dextromethorphan</v>
          </cell>
          <cell r="D74" t="str">
            <v>Uống</v>
          </cell>
        </row>
        <row r="75">
          <cell r="B75">
            <v>70</v>
          </cell>
          <cell r="C75" t="str">
            <v>Paracetamol + chlorpheniramin + phenylephrine + dextromethophan</v>
          </cell>
          <cell r="D75" t="str">
            <v>Uống</v>
          </cell>
        </row>
        <row r="76">
          <cell r="B76">
            <v>71</v>
          </cell>
          <cell r="C76" t="str">
            <v>Pethidin hydroclorid</v>
          </cell>
          <cell r="D76" t="str">
            <v>Tiếm</v>
          </cell>
        </row>
        <row r="77">
          <cell r="B77">
            <v>72</v>
          </cell>
          <cell r="C77" t="str">
            <v>Piroxicam (dưới dạng Piroxicam beta-cyclodextrin)</v>
          </cell>
          <cell r="D77" t="str">
            <v>Uống</v>
          </cell>
        </row>
        <row r="78">
          <cell r="B78">
            <v>73</v>
          </cell>
          <cell r="C78" t="str">
            <v>Tenoxicam</v>
          </cell>
          <cell r="D78" t="str">
            <v>Tiêm/truyền</v>
          </cell>
        </row>
        <row r="79">
          <cell r="B79">
            <v>74</v>
          </cell>
          <cell r="C79" t="str">
            <v>Tiaprofenic acid</v>
          </cell>
          <cell r="D79" t="str">
            <v>Uống</v>
          </cell>
        </row>
        <row r="80">
          <cell r="B80">
            <v>75</v>
          </cell>
          <cell r="C80" t="str">
            <v>Tramadol</v>
          </cell>
          <cell r="D80" t="str">
            <v>Tiêm, uống</v>
          </cell>
        </row>
        <row r="81">
          <cell r="B81">
            <v>76</v>
          </cell>
          <cell r="C81" t="str">
            <v>Allopurinol</v>
          </cell>
          <cell r="D81" t="str">
            <v>Uống</v>
          </cell>
        </row>
        <row r="82">
          <cell r="B82">
            <v>77</v>
          </cell>
          <cell r="C82" t="str">
            <v>Colchicin</v>
          </cell>
          <cell r="D82" t="str">
            <v>Uống</v>
          </cell>
        </row>
        <row r="83">
          <cell r="B83">
            <v>78</v>
          </cell>
          <cell r="C83" t="str">
            <v>Probenecid</v>
          </cell>
          <cell r="D83" t="str">
            <v>Uống</v>
          </cell>
        </row>
        <row r="84">
          <cell r="B84">
            <v>79</v>
          </cell>
          <cell r="C84" t="str">
            <v>Diacerein</v>
          </cell>
          <cell r="D84" t="str">
            <v>Uống</v>
          </cell>
          <cell r="E84" t="str">
            <v>Quỹ bảo hiểm y tế thanh toán điều trị thoái hóa khớp hông hoặc gối.</v>
          </cell>
          <cell r="F84" t="str">
            <v>Quỹ bảo hiểm y tế thanh toán điều trị thoái hóa khớp hông hoặc gối.</v>
          </cell>
        </row>
        <row r="85">
          <cell r="B85">
            <v>80</v>
          </cell>
          <cell r="C85" t="str">
            <v>Glucosamin</v>
          </cell>
          <cell r="D85" t="str">
            <v>Uống</v>
          </cell>
          <cell r="E85" t="str">
            <v>Quỹ bảo hiểm y tế thanh toán điều trị thoái hóa khớp gối mức độ nhẹ và trung bình.</v>
          </cell>
          <cell r="F85" t="str">
            <v>Quỹ bảo hiểm y tế thanh toán điều trị thoái hóa khớp gối mức độ nhẹ và trung bình.</v>
          </cell>
        </row>
        <row r="86">
          <cell r="B86">
            <v>81</v>
          </cell>
          <cell r="C86" t="str">
            <v>Adalimumab</v>
          </cell>
          <cell r="D86" t="str">
            <v>Tiêm</v>
          </cell>
          <cell r="E86" t="str">
            <v>Quỹ bảo hiểm y tế thanh  toán 50%.</v>
          </cell>
          <cell r="F86" t="str">
            <v>Quỹ bảo hiểm y tế thanh  toán 50%.</v>
          </cell>
        </row>
        <row r="87">
          <cell r="B87">
            <v>82</v>
          </cell>
          <cell r="C87" t="str">
            <v>Alendronat</v>
          </cell>
          <cell r="D87" t="str">
            <v>Uống</v>
          </cell>
          <cell r="E87" t="str">
            <v>Quỹ bảo hiểm y tế thanh toán điều trị loãng xương, sử dụng tại Bệnh viện Lão khoa Trung ương và khoa cơ xương khớp của bệnh viện hạng đặc biệt, hạng I.</v>
          </cell>
          <cell r="F87" t="str">
            <v>Quỹ bảo hiểm y tế thanh toán điều trị loãng xương, sử dụng tại Bệnh viện Lão khoa Trung ương và khoa cơ xương khớp của bệnh viện hạng đặc biệt, hạng I.</v>
          </cell>
        </row>
        <row r="88">
          <cell r="B88">
            <v>83</v>
          </cell>
          <cell r="C88" t="str">
            <v>Alendronat natri + cholecalciferol (Vitamin D3)</v>
          </cell>
          <cell r="D88" t="str">
            <v>Uống</v>
          </cell>
          <cell r="E88" t="str">
            <v>Quỹ bảo hiểm y tế thanh toán điều trị loãng xương, sử dụng tại Bệnh viện Lão khoa Trung ương và khoa cơ xương khớp của bệnh viện hạng đặc biệt, hạng I.</v>
          </cell>
          <cell r="F88" t="str">
            <v>Quỹ bảo hiểm y tế thanh toán điều trị loãng xương, sử dụng tại Bệnh viện Lão khoa Trung ương và khoa cơ xương khớp của bệnh viện hạng đặc biệt, hạng I.</v>
          </cell>
        </row>
        <row r="89">
          <cell r="B89">
            <v>84</v>
          </cell>
          <cell r="C89" t="str">
            <v>Alpha chymotrypsin</v>
          </cell>
          <cell r="D89" t="str">
            <v>Uống</v>
          </cell>
          <cell r="E89" t="str">
            <v>Quỹ bảo hiểm y tế thanh toán trong điều trị phù nề sau phẫu thuật, chấn thương, bỏng.</v>
          </cell>
          <cell r="F89" t="str">
            <v>Quỹ bảo hiểm y tế thanh toán trong điều trị phù nề sau phẫu thuật, chấn thương, bỏng.</v>
          </cell>
        </row>
        <row r="90">
          <cell r="B90">
            <v>85</v>
          </cell>
          <cell r="C90" t="str">
            <v>Calcitonin</v>
          </cell>
          <cell r="D90" t="str">
            <v>Tiêm/truyền</v>
          </cell>
          <cell r="E90"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cell r="F90" t="str">
            <v>Quỹ bảo hiểm y tế thanh toán:
'- Phòng ngừa mất xương cấp tính do bất động đột ngột như trường hợp bệnh nhân bị gãy xương do loãng xương;
'- Điều trị bệnh Paget cho người bệnh không đáp ứng các phương pháp điều trị khác hoặc không phù hợp với các phương pháp điều trị khác, như người bệnh có suy giảm chức năng thận nghiêm trọng;
'- Tăng calci máu ác tính.</v>
          </cell>
        </row>
        <row r="91">
          <cell r="B91">
            <v>86</v>
          </cell>
          <cell r="C91" t="str">
            <v>Etanercept</v>
          </cell>
          <cell r="D91" t="str">
            <v>Tiêm</v>
          </cell>
          <cell r="E91" t="str">
            <v>Quỹ bảo hiểm y tế thanh  toán 30%.</v>
          </cell>
          <cell r="F91" t="str">
            <v>Quỹ bảo hiểm y tế thanh  toán 30%.</v>
          </cell>
        </row>
        <row r="92">
          <cell r="B92">
            <v>87</v>
          </cell>
          <cell r="C92" t="str">
            <v>Golimumab</v>
          </cell>
          <cell r="D92" t="str">
            <v>Tiêm/truyền</v>
          </cell>
          <cell r="E92" t="str">
            <v>Quỹ bảo hiểm y tế thanh toán 50%.</v>
          </cell>
          <cell r="F92" t="str">
            <v>Quỹ bảo hiểm y tế thanh toán 50%.</v>
          </cell>
        </row>
        <row r="93">
          <cell r="B93">
            <v>88</v>
          </cell>
          <cell r="C93" t="str">
            <v>Infliximab</v>
          </cell>
          <cell r="D93" t="str">
            <v>Tiêm/truyền</v>
          </cell>
          <cell r="E93" t="str">
            <v>Quỹ bảo hiểm y tế thanh toán 50%.</v>
          </cell>
          <cell r="F93" t="str">
            <v>Quỹ bảo hiểm y tế thanh toán 50%.</v>
          </cell>
        </row>
        <row r="94">
          <cell r="B94">
            <v>89</v>
          </cell>
          <cell r="C94" t="str">
            <v>Leflunomid</v>
          </cell>
          <cell r="D94" t="str">
            <v>Uống</v>
          </cell>
        </row>
        <row r="95">
          <cell r="B95">
            <v>90</v>
          </cell>
          <cell r="C95" t="str">
            <v>Methocarbamol</v>
          </cell>
          <cell r="D95" t="str">
            <v>Tiêm/truyền</v>
          </cell>
        </row>
        <row r="96">
          <cell r="B96">
            <v>91</v>
          </cell>
          <cell r="C96" t="str">
            <v>Risedronat</v>
          </cell>
          <cell r="D96" t="str">
            <v>Uống</v>
          </cell>
        </row>
        <row r="97">
          <cell r="B97">
            <v>92</v>
          </cell>
          <cell r="C97" t="str">
            <v>Tocilizumab</v>
          </cell>
          <cell r="D97" t="str">
            <v>Tiêm/truyền</v>
          </cell>
          <cell r="E97" t="str">
            <v>Quỹ bảo hiểm y tế thanh toán tại Bệnh viện hạng đặc biệt, hạng I và khoa cơ xương khớp của Bệnh viện hạng II; thanh toán 60%.</v>
          </cell>
          <cell r="F97" t="str">
            <v>Quỹ bảo hiểm y tế thanh toán theo chỉ định của một trong các trường hợp sau:
- Tờ hướng dẫn sử dụng tại bệnh viện hạng đặc biệt, hạng I và khoa cơ xương khớp của Bệnh viện hạng II; thanh toán 60%; -Điều trị COVID-19 theo hướng dẫn chẩn đoàn và điều trị COVID-19 của Bộ Y tế.</v>
          </cell>
        </row>
        <row r="98">
          <cell r="B98">
            <v>93</v>
          </cell>
          <cell r="C98" t="str">
            <v>Zoledronic acid</v>
          </cell>
          <cell r="D98" t="str">
            <v>Tiêm/truyền</v>
          </cell>
          <cell r="E98"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cell r="F98" t="str">
            <v xml:space="preserve">Quỹ bảo hiểm y tế thanh toán:
'- Điều trị ung thư di căn xương tại Bệnh viện hạng đặc biệt, hạng I, II.
'- Điều trị loãng xương tại Bệnh viện Lão khoa Trung ương và khoa cơ xương khớp của bệnh viện hạng đặc biệt, hạng I. </v>
          </cell>
        </row>
        <row r="99">
          <cell r="B99">
            <v>94</v>
          </cell>
          <cell r="C99" t="str">
            <v>Alimemazin</v>
          </cell>
          <cell r="D99" t="str">
            <v>Uống</v>
          </cell>
        </row>
        <row r="100">
          <cell r="B100">
            <v>95</v>
          </cell>
          <cell r="C100" t="str">
            <v>Bilastine</v>
          </cell>
          <cell r="D100" t="str">
            <v>Uống</v>
          </cell>
        </row>
        <row r="101">
          <cell r="B101">
            <v>96</v>
          </cell>
          <cell r="C101" t="str">
            <v>Cetirizin</v>
          </cell>
          <cell r="D101" t="str">
            <v>Uống</v>
          </cell>
        </row>
        <row r="102">
          <cell r="B102">
            <v>97</v>
          </cell>
          <cell r="C102" t="str">
            <v>Cinnarizin</v>
          </cell>
          <cell r="D102" t="str">
            <v>Uống</v>
          </cell>
        </row>
        <row r="103">
          <cell r="B103">
            <v>98</v>
          </cell>
          <cell r="C103" t="str">
            <v>Chlorpheniramin (hydrogen maleat)</v>
          </cell>
          <cell r="D103" t="str">
            <v>Uống</v>
          </cell>
        </row>
        <row r="104">
          <cell r="B104">
            <v>99</v>
          </cell>
          <cell r="C104" t="str">
            <v>Chlorpheniramin +  
dextromethorphan</v>
          </cell>
          <cell r="D104" t="str">
            <v xml:space="preserve">Uống </v>
          </cell>
        </row>
        <row r="105">
          <cell r="B105">
            <v>100</v>
          </cell>
          <cell r="C105" t="str">
            <v>Chlorpheniramin +  
phenylephrin</v>
          </cell>
          <cell r="D105" t="str">
            <v xml:space="preserve">Uống </v>
          </cell>
        </row>
        <row r="106">
          <cell r="B106">
            <v>101</v>
          </cell>
          <cell r="C106" t="str">
            <v>Desloratadin</v>
          </cell>
          <cell r="D106" t="str">
            <v>Uống</v>
          </cell>
        </row>
        <row r="107">
          <cell r="B107">
            <v>102</v>
          </cell>
          <cell r="C107" t="str">
            <v xml:space="preserve">Dexchlorpheniramin </v>
          </cell>
          <cell r="D107" t="str">
            <v>Uống, tiêm</v>
          </cell>
        </row>
        <row r="108">
          <cell r="B108">
            <v>103</v>
          </cell>
          <cell r="C108" t="str">
            <v>Diphenhydramin</v>
          </cell>
          <cell r="D108" t="str">
            <v>Tiêm/truyền</v>
          </cell>
        </row>
        <row r="109">
          <cell r="B109">
            <v>104</v>
          </cell>
          <cell r="C109" t="str">
            <v>Ebastin</v>
          </cell>
          <cell r="D109" t="str">
            <v>Uống</v>
          </cell>
        </row>
        <row r="110">
          <cell r="B110">
            <v>105</v>
          </cell>
          <cell r="C110" t="str">
            <v>Epinephrin (adrenalin)</v>
          </cell>
          <cell r="D110" t="str">
            <v>Tiêm/truyền</v>
          </cell>
        </row>
        <row r="111">
          <cell r="B111">
            <v>106</v>
          </cell>
          <cell r="C111" t="str">
            <v>Fexofenadin</v>
          </cell>
          <cell r="D111" t="str">
            <v>Uống</v>
          </cell>
        </row>
        <row r="112">
          <cell r="B112">
            <v>107</v>
          </cell>
          <cell r="C112" t="str">
            <v xml:space="preserve">Ketotifen </v>
          </cell>
          <cell r="D112" t="str">
            <v>Uống, nhỏ mắt</v>
          </cell>
        </row>
        <row r="113">
          <cell r="B113">
            <v>108</v>
          </cell>
          <cell r="C113" t="str">
            <v>Levocetirizin</v>
          </cell>
          <cell r="D113" t="str">
            <v>Uống</v>
          </cell>
        </row>
        <row r="114">
          <cell r="B114">
            <v>109</v>
          </cell>
          <cell r="C114" t="str">
            <v>Loratadin</v>
          </cell>
          <cell r="D114" t="str">
            <v>Uống</v>
          </cell>
        </row>
        <row r="115">
          <cell r="B115">
            <v>110</v>
          </cell>
          <cell r="C115" t="str">
            <v>Loratadin + pseudoephedrin</v>
          </cell>
          <cell r="D115" t="str">
            <v xml:space="preserve">Uống </v>
          </cell>
        </row>
        <row r="116">
          <cell r="B116">
            <v>111</v>
          </cell>
          <cell r="C116" t="str">
            <v>Mequitazin</v>
          </cell>
          <cell r="D116" t="str">
            <v>Uống</v>
          </cell>
        </row>
        <row r="117">
          <cell r="B117">
            <v>112</v>
          </cell>
          <cell r="C117" t="str">
            <v>Promethazin hydroclorid</v>
          </cell>
          <cell r="D117" t="str">
            <v>Tiêm, uống,  dùng ngoài</v>
          </cell>
        </row>
        <row r="118">
          <cell r="B118">
            <v>113</v>
          </cell>
          <cell r="C118" t="str">
            <v xml:space="preserve">Rupatadine </v>
          </cell>
          <cell r="D118" t="str">
            <v xml:space="preserve">Uống </v>
          </cell>
        </row>
        <row r="119">
          <cell r="B119">
            <v>114</v>
          </cell>
          <cell r="C119" t="str">
            <v>Acetylcystein</v>
          </cell>
          <cell r="D119" t="str">
            <v>Tiêm/truyền</v>
          </cell>
        </row>
        <row r="120">
          <cell r="B120">
            <v>115</v>
          </cell>
          <cell r="C120" t="str">
            <v xml:space="preserve">Atropin </v>
          </cell>
          <cell r="D120" t="str">
            <v xml:space="preserve">Tiêm </v>
          </cell>
        </row>
        <row r="121">
          <cell r="B121">
            <v>116</v>
          </cell>
          <cell r="C121" t="str">
            <v>Calci gluconat</v>
          </cell>
          <cell r="D121" t="str">
            <v>Tiêm/truyền</v>
          </cell>
        </row>
        <row r="122">
          <cell r="B122">
            <v>117</v>
          </cell>
          <cell r="C122" t="str">
            <v xml:space="preserve">Dantrolen </v>
          </cell>
          <cell r="D122" t="str">
            <v xml:space="preserve">Uống </v>
          </cell>
        </row>
        <row r="123">
          <cell r="B123">
            <v>118</v>
          </cell>
          <cell r="C123" t="str">
            <v xml:space="preserve">Deferoxamin </v>
          </cell>
          <cell r="D123" t="str">
            <v xml:space="preserve">Uống,  
tiêm truyền
</v>
          </cell>
        </row>
        <row r="124">
          <cell r="B124">
            <v>119</v>
          </cell>
          <cell r="C124" t="str">
            <v xml:space="preserve">Dimercaprol </v>
          </cell>
          <cell r="D124" t="str">
            <v xml:space="preserve">Tiêm </v>
          </cell>
        </row>
        <row r="125">
          <cell r="B125">
            <v>120</v>
          </cell>
          <cell r="C125" t="str">
            <v>Edetat natri calci  
(EDTA Ca- Na)</v>
          </cell>
          <cell r="D125" t="str">
            <v xml:space="preserve">Tiêm, uống </v>
          </cell>
        </row>
        <row r="126">
          <cell r="B126">
            <v>121</v>
          </cell>
          <cell r="C126" t="str">
            <v xml:space="preserve">Ephedrin </v>
          </cell>
          <cell r="D126" t="str">
            <v>Tiêm/truyền</v>
          </cell>
        </row>
        <row r="127">
          <cell r="B127">
            <v>122</v>
          </cell>
          <cell r="C127" t="str">
            <v xml:space="preserve">Esmolol </v>
          </cell>
          <cell r="D127" t="str">
            <v>Tiêm</v>
          </cell>
        </row>
        <row r="128">
          <cell r="B128">
            <v>123</v>
          </cell>
          <cell r="C128" t="str">
            <v xml:space="preserve">Flumazenil </v>
          </cell>
          <cell r="D128" t="str">
            <v>Tiêm</v>
          </cell>
        </row>
        <row r="129">
          <cell r="B129">
            <v>124</v>
          </cell>
          <cell r="C129" t="str">
            <v>Fomepizol</v>
          </cell>
          <cell r="D129" t="str">
            <v>Tiêm</v>
          </cell>
        </row>
        <row r="130">
          <cell r="B130">
            <v>125</v>
          </cell>
          <cell r="C130" t="str">
            <v xml:space="preserve">Glucagon </v>
          </cell>
          <cell r="D130" t="str">
            <v>Tiêm</v>
          </cell>
        </row>
        <row r="131">
          <cell r="B131">
            <v>126</v>
          </cell>
          <cell r="C131" t="str">
            <v>Glutathion</v>
          </cell>
          <cell r="D131" t="str">
            <v>Tiêm/truyền</v>
          </cell>
          <cell r="E131" t="str">
            <v>Quỹ bảo hiểm y tế thanh toán cho bệnh nhân sau xạ trị, bệnh nhân điều trị ung thư bằng cisplatin hoặc carboplatin; thanh toán 50%.</v>
          </cell>
          <cell r="F131" t="str">
            <v>Quỹ bảo hiểm y tế thanh toán cho bệnh nhân sau xạ trị, bệnh nhân điều trị ung thư bằng cisplatin hoặc carboplatin; thanh toán 50%.</v>
          </cell>
        </row>
        <row r="132">
          <cell r="B132">
            <v>127</v>
          </cell>
          <cell r="C132" t="str">
            <v xml:space="preserve">Hydroxocobalamin </v>
          </cell>
          <cell r="D132" t="str">
            <v xml:space="preserve">Tiêm </v>
          </cell>
        </row>
        <row r="133">
          <cell r="B133">
            <v>128</v>
          </cell>
          <cell r="C133" t="str">
            <v>Calci folinat (folinic acid, leucovorin)</v>
          </cell>
          <cell r="D133" t="str">
            <v>Tiêm/truyền, uống</v>
          </cell>
        </row>
        <row r="134">
          <cell r="B134">
            <v>129</v>
          </cell>
          <cell r="C134" t="str">
            <v>Naloxon hydroclorid</v>
          </cell>
          <cell r="D134" t="str">
            <v>Tiêm/truyền</v>
          </cell>
        </row>
        <row r="135">
          <cell r="B135">
            <v>130</v>
          </cell>
          <cell r="C135" t="str">
            <v xml:space="preserve">Naltrexon </v>
          </cell>
          <cell r="D135" t="str">
            <v xml:space="preserve">Uống </v>
          </cell>
        </row>
        <row r="136">
          <cell r="B136">
            <v>131</v>
          </cell>
          <cell r="C136" t="str">
            <v>Natri hydrocarbonat (natri bicarbonat)</v>
          </cell>
          <cell r="D136" t="str">
            <v>Tiêm/truyền</v>
          </cell>
        </row>
        <row r="137">
          <cell r="B137">
            <v>132</v>
          </cell>
          <cell r="C137" t="str">
            <v xml:space="preserve">Natri nitrit </v>
          </cell>
          <cell r="D137" t="str">
            <v xml:space="preserve">Uống </v>
          </cell>
          <cell r="E137" t="str">
            <v>Quỹ bảo hiểm y tế thanh  toán điều trị ngộ độc  
cyanua.</v>
          </cell>
          <cell r="F137" t="str">
            <v xml:space="preserve">Quỹ bảo hiểm y tế thanh  toán điều trị ngộ độc  
cyanua.
</v>
          </cell>
        </row>
        <row r="138">
          <cell r="B138">
            <v>133</v>
          </cell>
          <cell r="C138" t="str">
            <v>Natri thiosulfat</v>
          </cell>
          <cell r="D138" t="str">
            <v xml:space="preserve">Tiêm, uống </v>
          </cell>
        </row>
        <row r="139">
          <cell r="B139">
            <v>134</v>
          </cell>
          <cell r="C139" t="str">
            <v>Nor-epinephrin (Nor- adrenalin)</v>
          </cell>
          <cell r="D139" t="str">
            <v>Tiêm/truyền</v>
          </cell>
        </row>
        <row r="140">
          <cell r="B140">
            <v>135</v>
          </cell>
          <cell r="C140" t="str">
            <v xml:space="preserve">Penicilamin </v>
          </cell>
          <cell r="D140" t="str">
            <v xml:space="preserve">Tiêm, uống </v>
          </cell>
        </row>
        <row r="141">
          <cell r="B141">
            <v>136</v>
          </cell>
          <cell r="C141" t="str">
            <v>Phenylephrin</v>
          </cell>
          <cell r="D141" t="str">
            <v>Tiêm/truyền</v>
          </cell>
        </row>
        <row r="142">
          <cell r="B142">
            <v>137</v>
          </cell>
          <cell r="C142" t="str">
            <v>Polystyren</v>
          </cell>
          <cell r="D142" t="str">
            <v>Uống</v>
          </cell>
        </row>
        <row r="143">
          <cell r="B143">
            <v>138</v>
          </cell>
          <cell r="C143" t="str">
            <v>Pralidoxim</v>
          </cell>
          <cell r="D143" t="str">
            <v>Tiêm/truyền</v>
          </cell>
        </row>
        <row r="144">
          <cell r="B144">
            <v>139</v>
          </cell>
          <cell r="C144" t="str">
            <v>Protamin sulfat</v>
          </cell>
          <cell r="D144" t="str">
            <v>Tiêm/truyền</v>
          </cell>
        </row>
        <row r="145">
          <cell r="B145">
            <v>140</v>
          </cell>
          <cell r="C145" t="str">
            <v xml:space="preserve">Meglumin natri succinat </v>
          </cell>
          <cell r="D145" t="str">
            <v>Tiêm/truyền</v>
          </cell>
        </row>
        <row r="146">
          <cell r="B146">
            <v>141</v>
          </cell>
          <cell r="C146" t="str">
            <v>Sorbitol</v>
          </cell>
          <cell r="D146" t="str">
            <v>Rửa ổ bụng</v>
          </cell>
        </row>
        <row r="147">
          <cell r="B147">
            <v>142</v>
          </cell>
          <cell r="C147" t="str">
            <v xml:space="preserve">Silibinin </v>
          </cell>
          <cell r="D147" t="str">
            <v>Tiêm</v>
          </cell>
          <cell r="E147" t="str">
            <v>Quỹ bảo hiểm y tế thanh  toán điều trị ngộ độc nấm.</v>
          </cell>
          <cell r="F147" t="str">
            <v>Quỹ bảo hiểm y tế thanh  toán điều trị ngộ độc nấm.</v>
          </cell>
        </row>
        <row r="148">
          <cell r="B148">
            <v>143</v>
          </cell>
          <cell r="C148" t="str">
            <v xml:space="preserve">Succimer </v>
          </cell>
          <cell r="D148" t="str">
            <v>Uống</v>
          </cell>
          <cell r="E148" t="str">
            <v>Quỹ bảo hiểm y tế thanh  toán điều trị ngộ độc chì.</v>
          </cell>
          <cell r="F148" t="str">
            <v>Quỹ bảo hiểm y tế thanh  toán điều trị ngộ độc chì.</v>
          </cell>
        </row>
        <row r="149">
          <cell r="B149">
            <v>144</v>
          </cell>
          <cell r="C149" t="str">
            <v>Sugammadex</v>
          </cell>
          <cell r="D149" t="str">
            <v>Tiêm/truyền</v>
          </cell>
          <cell r="E149"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cell r="F149" t="str">
            <v>Quỹ bảo hiểm y tế thanh toán trong các trường hợp:
1. Trường hợp đã tiêm thuốc giãn cơ mà không đặt được ống nội khí quản;
2. Bệnh nhân mắc bệnh phổi tắc nghẽn mạn tính (COPD), hen phế quản;
3. Bệnh nhân suy tim, loạn nhịp tim, bệnh van tim, mạch vành;
4. Bệnh nhân béo phì (BMI &gt; 30);
5. Bệnh nhân có bệnh lý thần kinh-cơ (loạn dưỡng cơ, nhược cơ);
6. Bệnh nhân có chống chỉ định với neostigmine và atropin.</v>
          </cell>
        </row>
        <row r="150">
          <cell r="B150">
            <v>145</v>
          </cell>
          <cell r="C150" t="str">
            <v xml:space="preserve">Than hoạt </v>
          </cell>
          <cell r="D150" t="str">
            <v>Uống</v>
          </cell>
        </row>
        <row r="151">
          <cell r="B151">
            <v>146</v>
          </cell>
          <cell r="C151" t="str">
            <v xml:space="preserve">Than hoạt + sorbitol </v>
          </cell>
          <cell r="D151" t="str">
            <v>Uống</v>
          </cell>
        </row>
        <row r="152">
          <cell r="B152">
            <v>147</v>
          </cell>
          <cell r="C152" t="str">
            <v xml:space="preserve">Xanh methylen </v>
          </cell>
          <cell r="D152" t="str">
            <v>Tiêm</v>
          </cell>
        </row>
        <row r="153">
          <cell r="B153">
            <v>148</v>
          </cell>
          <cell r="C153" t="str">
            <v>Carbamazepin</v>
          </cell>
          <cell r="D153" t="str">
            <v>Uống</v>
          </cell>
        </row>
        <row r="154">
          <cell r="B154">
            <v>149</v>
          </cell>
          <cell r="C154" t="str">
            <v>Gabapentin</v>
          </cell>
          <cell r="D154" t="str">
            <v>Uống</v>
          </cell>
        </row>
        <row r="155">
          <cell r="B155">
            <v>150</v>
          </cell>
          <cell r="C155" t="str">
            <v>Lamotrigine</v>
          </cell>
          <cell r="D155" t="str">
            <v>Uống</v>
          </cell>
        </row>
        <row r="156">
          <cell r="B156">
            <v>151</v>
          </cell>
          <cell r="C156" t="str">
            <v>Levetiracetam</v>
          </cell>
          <cell r="D156" t="str">
            <v>Uống</v>
          </cell>
        </row>
        <row r="157">
          <cell r="B157">
            <v>152</v>
          </cell>
          <cell r="C157" t="str">
            <v>Oxcarbazepin</v>
          </cell>
          <cell r="D157" t="str">
            <v>Uống</v>
          </cell>
        </row>
        <row r="158">
          <cell r="B158">
            <v>153</v>
          </cell>
          <cell r="C158" t="str">
            <v>Phenobarbital</v>
          </cell>
          <cell r="D158" t="str">
            <v>Tiêm/truyền, uống</v>
          </cell>
        </row>
        <row r="159">
          <cell r="B159">
            <v>154</v>
          </cell>
          <cell r="C159" t="str">
            <v>Phenytoin</v>
          </cell>
          <cell r="D159" t="str">
            <v>Uống</v>
          </cell>
        </row>
        <row r="160">
          <cell r="B160">
            <v>155</v>
          </cell>
          <cell r="C160" t="str">
            <v>Pregabalin</v>
          </cell>
          <cell r="D160" t="str">
            <v>Uống</v>
          </cell>
        </row>
        <row r="161">
          <cell r="B161">
            <v>156</v>
          </cell>
          <cell r="C161" t="str">
            <v>Topiramat</v>
          </cell>
          <cell r="D161" t="str">
            <v>Uống</v>
          </cell>
        </row>
        <row r="162">
          <cell r="B162">
            <v>157</v>
          </cell>
          <cell r="C162" t="str">
            <v>Valproat natri</v>
          </cell>
          <cell r="D162" t="str">
            <v>Uống</v>
          </cell>
        </row>
        <row r="163">
          <cell r="B163">
            <v>158</v>
          </cell>
          <cell r="C163" t="str">
            <v>Valproat natri + valproic acid</v>
          </cell>
          <cell r="D163" t="str">
            <v>Uống</v>
          </cell>
        </row>
        <row r="164">
          <cell r="B164">
            <v>159</v>
          </cell>
          <cell r="C164" t="str">
            <v xml:space="preserve">Valproic acid </v>
          </cell>
          <cell r="D164" t="str">
            <v>Uống</v>
          </cell>
        </row>
        <row r="165">
          <cell r="B165">
            <v>160</v>
          </cell>
          <cell r="C165" t="str">
            <v>Albendazol</v>
          </cell>
          <cell r="D165" t="str">
            <v>Uống</v>
          </cell>
        </row>
        <row r="166">
          <cell r="B166">
            <v>161</v>
          </cell>
          <cell r="C166" t="str">
            <v>Diethylcarbamazin 
(dihydrogen citrat)</v>
          </cell>
          <cell r="D166" t="str">
            <v>Uống</v>
          </cell>
        </row>
        <row r="167">
          <cell r="B167">
            <v>162</v>
          </cell>
          <cell r="C167" t="str">
            <v xml:space="preserve">Ivermectin </v>
          </cell>
          <cell r="D167" t="str">
            <v>Uống</v>
          </cell>
        </row>
        <row r="168">
          <cell r="B168">
            <v>163</v>
          </cell>
          <cell r="C168" t="str">
            <v xml:space="preserve">Mebendazol </v>
          </cell>
          <cell r="D168" t="str">
            <v>Uống</v>
          </cell>
        </row>
        <row r="169">
          <cell r="B169">
            <v>164</v>
          </cell>
          <cell r="C169" t="str">
            <v xml:space="preserve">Niclosamid </v>
          </cell>
          <cell r="D169" t="str">
            <v>Uống</v>
          </cell>
        </row>
        <row r="170">
          <cell r="B170">
            <v>165</v>
          </cell>
          <cell r="C170" t="str">
            <v xml:space="preserve">Praziquantel </v>
          </cell>
          <cell r="D170" t="str">
            <v>Uống</v>
          </cell>
        </row>
        <row r="171">
          <cell r="B171">
            <v>166</v>
          </cell>
          <cell r="C171" t="str">
            <v xml:space="preserve">Pyrantel </v>
          </cell>
          <cell r="D171" t="str">
            <v>Uống</v>
          </cell>
        </row>
        <row r="172">
          <cell r="B172">
            <v>167</v>
          </cell>
          <cell r="C172" t="str">
            <v>Triclabendazol</v>
          </cell>
          <cell r="D172" t="str">
            <v>Uống</v>
          </cell>
        </row>
        <row r="173">
          <cell r="B173">
            <v>168</v>
          </cell>
          <cell r="C173" t="str">
            <v>Amoxicilin</v>
          </cell>
          <cell r="D173" t="str">
            <v>Uống</v>
          </cell>
        </row>
        <row r="174">
          <cell r="B174">
            <v>169</v>
          </cell>
          <cell r="C174" t="str">
            <v>Amoxicilin + acid clavulanic</v>
          </cell>
          <cell r="D174" t="str">
            <v>Tiêm/truyền, uống</v>
          </cell>
        </row>
        <row r="175">
          <cell r="B175">
            <v>170</v>
          </cell>
          <cell r="C175" t="str">
            <v xml:space="preserve">Amoxicilin + sulbactam </v>
          </cell>
          <cell r="D175" t="str">
            <v>Tiêm</v>
          </cell>
          <cell r="E175" t="str">
            <v>Quỹ bảo hiểm y tế thanh toán  trong điều trị viêm tai giữa  hoặc viêm phổi cộng đồng.</v>
          </cell>
          <cell r="F175" t="str">
            <v>Quỹ bảo hiểm y tế thanh toán  trong điều trị viêm tai giữa  hoặc viêm phổi cộng đồng.</v>
          </cell>
        </row>
        <row r="176">
          <cell r="B176">
            <v>171</v>
          </cell>
          <cell r="C176" t="str">
            <v>Ampicilin (muối natri)</v>
          </cell>
          <cell r="D176" t="str">
            <v>Tiêm/truyền</v>
          </cell>
        </row>
        <row r="177">
          <cell r="B177">
            <v>172</v>
          </cell>
          <cell r="C177" t="str">
            <v>Ampicilin + sulbactam</v>
          </cell>
          <cell r="D177" t="str">
            <v>Tiêm/truyền</v>
          </cell>
        </row>
        <row r="178">
          <cell r="B178">
            <v>173</v>
          </cell>
          <cell r="C178" t="str">
            <v>Benzathin benzylpenicilin</v>
          </cell>
          <cell r="D178" t="str">
            <v>Tiêm</v>
          </cell>
        </row>
        <row r="179">
          <cell r="B179">
            <v>174</v>
          </cell>
          <cell r="C179" t="str">
            <v>Benzylpenicilin</v>
          </cell>
          <cell r="D179" t="str">
            <v>Tiêm</v>
          </cell>
        </row>
        <row r="180">
          <cell r="B180">
            <v>175</v>
          </cell>
          <cell r="C180" t="str">
            <v>Cefaclor</v>
          </cell>
          <cell r="D180" t="str">
            <v>Uống</v>
          </cell>
        </row>
        <row r="181">
          <cell r="B181">
            <v>176</v>
          </cell>
          <cell r="C181" t="str">
            <v>Cefadroxil</v>
          </cell>
          <cell r="D181" t="str">
            <v>Uống</v>
          </cell>
        </row>
        <row r="182">
          <cell r="B182">
            <v>177</v>
          </cell>
          <cell r="C182" t="str">
            <v>Cefalexin</v>
          </cell>
          <cell r="D182" t="str">
            <v>Uống</v>
          </cell>
        </row>
        <row r="183">
          <cell r="B183">
            <v>178</v>
          </cell>
          <cell r="C183" t="str">
            <v>Cefalothin</v>
          </cell>
          <cell r="D183" t="str">
            <v>Tiêm/truyền</v>
          </cell>
        </row>
        <row r="184">
          <cell r="B184">
            <v>179</v>
          </cell>
          <cell r="C184" t="str">
            <v>Cefamandol</v>
          </cell>
          <cell r="D184" t="str">
            <v>Tiêm/truyền</v>
          </cell>
        </row>
        <row r="185">
          <cell r="B185">
            <v>180</v>
          </cell>
          <cell r="C185" t="str">
            <v>Cefazolin</v>
          </cell>
          <cell r="D185" t="str">
            <v>Tiêm/truyền</v>
          </cell>
        </row>
        <row r="186">
          <cell r="B186">
            <v>181</v>
          </cell>
          <cell r="C186" t="str">
            <v>Cefdinir</v>
          </cell>
          <cell r="D186" t="str">
            <v>Uống</v>
          </cell>
        </row>
        <row r="187">
          <cell r="B187">
            <v>182</v>
          </cell>
          <cell r="C187" t="str">
            <v>Cefepim</v>
          </cell>
          <cell r="D187" t="str">
            <v>Tiêm/truyền</v>
          </cell>
        </row>
        <row r="188">
          <cell r="B188">
            <v>183</v>
          </cell>
          <cell r="C188" t="str">
            <v>Cefixim</v>
          </cell>
          <cell r="D188" t="str">
            <v>Uống</v>
          </cell>
        </row>
        <row r="189">
          <cell r="B189">
            <v>184</v>
          </cell>
          <cell r="C189" t="str">
            <v>Cefmetazol</v>
          </cell>
          <cell r="D189" t="str">
            <v>Tiêm/truyền</v>
          </cell>
        </row>
        <row r="190">
          <cell r="B190">
            <v>185</v>
          </cell>
          <cell r="C190" t="str">
            <v>Cefoperazon</v>
          </cell>
          <cell r="D190" t="str">
            <v>Tiêm/truyền</v>
          </cell>
        </row>
        <row r="191">
          <cell r="B191">
            <v>186</v>
          </cell>
          <cell r="C191" t="str">
            <v>Cefoperazon + sulbactam</v>
          </cell>
          <cell r="D191" t="str">
            <v>Tiêm/truyền</v>
          </cell>
        </row>
        <row r="192">
          <cell r="B192">
            <v>187</v>
          </cell>
          <cell r="C192" t="str">
            <v xml:space="preserve">Cefotaxim </v>
          </cell>
          <cell r="D192" t="str">
            <v>Tiêm</v>
          </cell>
        </row>
        <row r="193">
          <cell r="B193">
            <v>188</v>
          </cell>
          <cell r="C193" t="str">
            <v>Cefotiam</v>
          </cell>
          <cell r="D193" t="str">
            <v>Tiêm/truyền</v>
          </cell>
        </row>
        <row r="194">
          <cell r="B194">
            <v>189</v>
          </cell>
          <cell r="C194" t="str">
            <v>Cefoxitin</v>
          </cell>
          <cell r="D194" t="str">
            <v>Tiêm/truyền</v>
          </cell>
        </row>
        <row r="195">
          <cell r="B195">
            <v>190</v>
          </cell>
          <cell r="C195" t="str">
            <v>Cefpirom</v>
          </cell>
          <cell r="D195" t="str">
            <v>Tiêm/truyền</v>
          </cell>
        </row>
        <row r="196">
          <cell r="B196">
            <v>191</v>
          </cell>
          <cell r="C196" t="str">
            <v>Cefpodoxim</v>
          </cell>
          <cell r="D196" t="str">
            <v>Uống</v>
          </cell>
        </row>
        <row r="197">
          <cell r="B197">
            <v>192</v>
          </cell>
          <cell r="C197" t="str">
            <v>Cefradin</v>
          </cell>
          <cell r="D197" t="str">
            <v>Tiêm/truyền</v>
          </cell>
        </row>
        <row r="198">
          <cell r="B198">
            <v>193</v>
          </cell>
          <cell r="C198" t="str">
            <v>Ceftazidim</v>
          </cell>
          <cell r="D198" t="str">
            <v>Tiêm/truyền</v>
          </cell>
        </row>
        <row r="199">
          <cell r="B199">
            <v>194</v>
          </cell>
          <cell r="C199" t="str">
            <v>Ceftazidim + avibactam</v>
          </cell>
          <cell r="D199" t="str">
            <v>Tiêm</v>
          </cell>
          <cell r="F199" t="str">
            <v>Quỹ bảo hiểm y tế thanh toán trong điều trị COVID-19 theo hướng dẫn chẩn đoán và điều trị COVID-19 của Bộ Y tế.</v>
          </cell>
        </row>
        <row r="200">
          <cell r="B200">
            <v>195</v>
          </cell>
          <cell r="C200" t="str">
            <v>Ceftibuten</v>
          </cell>
          <cell r="D200" t="str">
            <v>Tiêm, uống</v>
          </cell>
        </row>
        <row r="201">
          <cell r="B201">
            <v>196</v>
          </cell>
          <cell r="C201" t="str">
            <v>Ceftizoxim</v>
          </cell>
          <cell r="D201" t="str">
            <v>Tiêm/truyền</v>
          </cell>
        </row>
        <row r="202">
          <cell r="B202">
            <v>197</v>
          </cell>
          <cell r="C202" t="str">
            <v>Ceftolozan + tazobactam</v>
          </cell>
          <cell r="D202" t="str">
            <v>Tiêm</v>
          </cell>
          <cell r="F202" t="str">
            <v>Quỹ bảo hiểm y tế thanh toán trong điều trị COVID-19 theo hướng dẫn chẩn đoán và điều trị COVID-19 của Bộ Y tế.</v>
          </cell>
        </row>
        <row r="203">
          <cell r="B203">
            <v>198</v>
          </cell>
          <cell r="C203" t="str">
            <v>Ceftriaxon</v>
          </cell>
          <cell r="D203" t="str">
            <v>Tiêm/truyền</v>
          </cell>
        </row>
        <row r="204">
          <cell r="B204">
            <v>199</v>
          </cell>
          <cell r="C204" t="str">
            <v>Cefuroxim</v>
          </cell>
          <cell r="D204" t="str">
            <v>Tiêm/truyền, uống</v>
          </cell>
        </row>
        <row r="205">
          <cell r="B205">
            <v>200</v>
          </cell>
          <cell r="C205" t="str">
            <v>Cloxacilin</v>
          </cell>
          <cell r="D205" t="str">
            <v>Tiêm/truyền</v>
          </cell>
        </row>
        <row r="206">
          <cell r="B206">
            <v>201</v>
          </cell>
          <cell r="C206" t="str">
            <v>Doripenem*</v>
          </cell>
          <cell r="D206" t="str">
            <v>Tiêm/truyền</v>
          </cell>
          <cell r="E206" t="str">
            <v>BBHC + Phiếu duyệt KS + Duyệt GĐ</v>
          </cell>
          <cell r="F206" t="str">
            <v>BBHC + Phiếu duyệt KS + Duyệt GĐ</v>
          </cell>
        </row>
        <row r="207">
          <cell r="B207">
            <v>202</v>
          </cell>
          <cell r="C207" t="str">
            <v>Ertapenem*</v>
          </cell>
          <cell r="D207" t="str">
            <v>Tiêm/truyền</v>
          </cell>
          <cell r="E207" t="str">
            <v>BBHC + Phiếu duyệt KS + Duyệt GĐ</v>
          </cell>
          <cell r="F207" t="str">
            <v>BBHC + Phiếu duyệt KS + Duyệt GĐ</v>
          </cell>
        </row>
        <row r="208">
          <cell r="B208">
            <v>203</v>
          </cell>
          <cell r="C208" t="str">
            <v>Imipenem + cilastatin*</v>
          </cell>
          <cell r="D208" t="str">
            <v>Tiêm/truyền</v>
          </cell>
          <cell r="E208" t="str">
            <v>BBHC + Phiếu duyệt KS + Duyệt GĐ</v>
          </cell>
          <cell r="F208" t="str">
            <v>BBHC + Phiếu duyệt KS + Duyệt GĐ</v>
          </cell>
        </row>
        <row r="209">
          <cell r="B209">
            <v>204</v>
          </cell>
          <cell r="C209" t="str">
            <v>Meropenem*</v>
          </cell>
          <cell r="D209" t="str">
            <v>Tiêm/truyền</v>
          </cell>
          <cell r="E209" t="str">
            <v>BBHC + Phiếu duyệt KS + Duyệt GĐ</v>
          </cell>
          <cell r="F209" t="str">
            <v>BBHC + Phiếu duyệt KS + Duyệt GĐ</v>
          </cell>
        </row>
        <row r="210">
          <cell r="B210">
            <v>205</v>
          </cell>
          <cell r="C210" t="str">
            <v>Oxacilin</v>
          </cell>
          <cell r="D210" t="str">
            <v>Tiêm/truyền</v>
          </cell>
        </row>
        <row r="211">
          <cell r="B211">
            <v>206</v>
          </cell>
          <cell r="C211" t="str">
            <v>Piperacilin</v>
          </cell>
          <cell r="D211" t="str">
            <v>Tiêm/truyền</v>
          </cell>
        </row>
        <row r="212">
          <cell r="B212">
            <v>207</v>
          </cell>
          <cell r="C212" t="str">
            <v>Piperacilin + tazobactam</v>
          </cell>
          <cell r="D212" t="str">
            <v>Tiêm/truyền</v>
          </cell>
        </row>
        <row r="213">
          <cell r="B213">
            <v>208</v>
          </cell>
          <cell r="C213" t="str">
            <v>Phenoxy methylpenicilin</v>
          </cell>
          <cell r="D213" t="str">
            <v>Uống</v>
          </cell>
        </row>
        <row r="214">
          <cell r="B214">
            <v>209</v>
          </cell>
          <cell r="C214" t="str">
            <v xml:space="preserve">Procain benzylpenicilin </v>
          </cell>
          <cell r="D214" t="str">
            <v>Tiêm</v>
          </cell>
        </row>
        <row r="215">
          <cell r="B215">
            <v>210</v>
          </cell>
          <cell r="C215" t="str">
            <v>Sultamicillin  
(Ampicilin + sulbactam)</v>
          </cell>
          <cell r="D215" t="str">
            <v>Uống</v>
          </cell>
        </row>
        <row r="216">
          <cell r="B216">
            <v>211</v>
          </cell>
          <cell r="C216" t="str">
            <v>Ticarcillin + acid clavulanic</v>
          </cell>
          <cell r="D216" t="str">
            <v>Tiêm/truyền</v>
          </cell>
        </row>
        <row r="217">
          <cell r="B217">
            <v>212</v>
          </cell>
          <cell r="C217" t="str">
            <v>Amikacin</v>
          </cell>
          <cell r="D217" t="str">
            <v>Tiêm/truyền, uống</v>
          </cell>
        </row>
        <row r="218">
          <cell r="B218">
            <v>213</v>
          </cell>
          <cell r="C218" t="str">
            <v>Gentamicin</v>
          </cell>
          <cell r="D218" t="str">
            <v>Tiêm/truyền</v>
          </cell>
        </row>
        <row r="219">
          <cell r="B219">
            <v>214</v>
          </cell>
          <cell r="C219" t="str">
            <v xml:space="preserve">Neomycin (sulfat) </v>
          </cell>
          <cell r="D219" t="str">
            <v>Uống,  
nhỏ mắt,  
dùng ngoài</v>
          </cell>
        </row>
        <row r="220">
          <cell r="B220">
            <v>215</v>
          </cell>
          <cell r="C220" t="str">
            <v xml:space="preserve">Neomycin + polymyxin B </v>
          </cell>
          <cell r="D220" t="str">
            <v xml:space="preserve">Nhỏ mắt </v>
          </cell>
        </row>
        <row r="221">
          <cell r="B221">
            <v>216</v>
          </cell>
          <cell r="C221" t="str">
            <v>Neomycin + polymyxin B +  dexamethason</v>
          </cell>
          <cell r="D221" t="str">
            <v>Nhỏ mắt,  
nhỏ tai</v>
          </cell>
        </row>
        <row r="222">
          <cell r="B222">
            <v>217</v>
          </cell>
          <cell r="C222" t="str">
            <v>Netilmicin sulfat</v>
          </cell>
          <cell r="D222" t="str">
            <v>Tiêm/truyền</v>
          </cell>
        </row>
        <row r="223">
          <cell r="B223">
            <v>218</v>
          </cell>
          <cell r="C223" t="str">
            <v>Tobramycin</v>
          </cell>
          <cell r="D223" t="str">
            <v>Nhỏ mắt, tiêm</v>
          </cell>
        </row>
        <row r="224">
          <cell r="B224">
            <v>219</v>
          </cell>
          <cell r="C224" t="str">
            <v>Tobramycin + dexamethason</v>
          </cell>
          <cell r="D224" t="str">
            <v>Nhỏ mắt</v>
          </cell>
        </row>
        <row r="225">
          <cell r="B225">
            <v>220</v>
          </cell>
          <cell r="C225" t="str">
            <v>Cloramphenicol</v>
          </cell>
          <cell r="D225" t="str">
            <v>Tiêm/truyền</v>
          </cell>
        </row>
        <row r="226">
          <cell r="B226">
            <v>221</v>
          </cell>
          <cell r="C226" t="str">
            <v>Metronidazol</v>
          </cell>
          <cell r="D226" t="str">
            <v>Tiêm/truyền, uống</v>
          </cell>
        </row>
        <row r="227">
          <cell r="B227">
            <v>222</v>
          </cell>
          <cell r="C227" t="str">
            <v>Metronidazol + neomycin + nystatin</v>
          </cell>
          <cell r="D227" t="str">
            <v>Đặt âm đạo</v>
          </cell>
        </row>
        <row r="228">
          <cell r="B228">
            <v>223</v>
          </cell>
          <cell r="C228" t="str">
            <v>Secnidazol</v>
          </cell>
          <cell r="D228" t="str">
            <v>Uống</v>
          </cell>
        </row>
        <row r="229">
          <cell r="B229">
            <v>224</v>
          </cell>
          <cell r="C229" t="str">
            <v>Tinidazol</v>
          </cell>
          <cell r="D229" t="str">
            <v>Tiêm/truyền, uống</v>
          </cell>
        </row>
        <row r="230">
          <cell r="B230">
            <v>225</v>
          </cell>
          <cell r="C230" t="str">
            <v>Clindamycin</v>
          </cell>
          <cell r="D230" t="str">
            <v>Tiêm/truyền, uống</v>
          </cell>
        </row>
        <row r="231">
          <cell r="B231">
            <v>226</v>
          </cell>
          <cell r="C231" t="str">
            <v>Azithromycin</v>
          </cell>
          <cell r="D231" t="str">
            <v>Tiêm/truyền, uống</v>
          </cell>
        </row>
        <row r="232">
          <cell r="B232">
            <v>227</v>
          </cell>
          <cell r="C232" t="str">
            <v>Clarithromycin</v>
          </cell>
          <cell r="D232" t="str">
            <v>Uống</v>
          </cell>
        </row>
        <row r="233">
          <cell r="B233">
            <v>228</v>
          </cell>
          <cell r="C233" t="str">
            <v>Erythromycin</v>
          </cell>
          <cell r="D233" t="str">
            <v>Uống</v>
          </cell>
        </row>
        <row r="234">
          <cell r="B234">
            <v>229</v>
          </cell>
          <cell r="C234" t="str">
            <v xml:space="preserve">Roxithromycin </v>
          </cell>
          <cell r="D234" t="str">
            <v>Uống</v>
          </cell>
        </row>
        <row r="235">
          <cell r="B235">
            <v>230</v>
          </cell>
          <cell r="C235" t="str">
            <v>Spiramycin</v>
          </cell>
          <cell r="D235" t="str">
            <v>Uống</v>
          </cell>
        </row>
        <row r="236">
          <cell r="B236">
            <v>231</v>
          </cell>
          <cell r="C236" t="str">
            <v>Spiramycin + metronidazol</v>
          </cell>
          <cell r="D236" t="str">
            <v>Uống</v>
          </cell>
        </row>
        <row r="237">
          <cell r="B237">
            <v>232</v>
          </cell>
          <cell r="C237" t="str">
            <v xml:space="preserve">Tretinoin + erythromycin </v>
          </cell>
          <cell r="D237" t="str">
            <v xml:space="preserve">Dùng ngoài </v>
          </cell>
        </row>
        <row r="238">
          <cell r="B238">
            <v>233</v>
          </cell>
          <cell r="C238" t="str">
            <v>Ciprofloxacin</v>
          </cell>
          <cell r="D238" t="str">
            <v>Nhỏ tai, tiêm, uống</v>
          </cell>
        </row>
        <row r="239">
          <cell r="B239">
            <v>234</v>
          </cell>
          <cell r="C239" t="str">
            <v>Levofloxacin</v>
          </cell>
          <cell r="D239" t="str">
            <v>Nhỏ mắt, tiêm, uống</v>
          </cell>
        </row>
        <row r="240">
          <cell r="B240">
            <v>235</v>
          </cell>
          <cell r="C240" t="str">
            <v>Lomefloxacin</v>
          </cell>
          <cell r="D240" t="str">
            <v>Uống, nhỏ  mắt</v>
          </cell>
        </row>
        <row r="241">
          <cell r="B241">
            <v>236</v>
          </cell>
          <cell r="C241" t="str">
            <v>Moxifloxacin</v>
          </cell>
          <cell r="D241" t="str">
            <v>Nhỏ mắt, tiêm, uống</v>
          </cell>
        </row>
        <row r="242">
          <cell r="B242">
            <v>237</v>
          </cell>
          <cell r="C242" t="str">
            <v xml:space="preserve">Nalidixic acid </v>
          </cell>
          <cell r="D242" t="str">
            <v>Uống</v>
          </cell>
        </row>
        <row r="243">
          <cell r="B243">
            <v>238</v>
          </cell>
          <cell r="C243" t="str">
            <v>Norfloxacin</v>
          </cell>
          <cell r="D243" t="str">
            <v>Uống, nhỏ mắt</v>
          </cell>
        </row>
        <row r="244">
          <cell r="B244">
            <v>239</v>
          </cell>
          <cell r="C244" t="str">
            <v>Ofloxacin</v>
          </cell>
          <cell r="D244" t="str">
            <v>Nhỏ mắt, tiêm, uống</v>
          </cell>
        </row>
        <row r="245">
          <cell r="B245">
            <v>240</v>
          </cell>
          <cell r="C245" t="str">
            <v xml:space="preserve">Pefloxacin </v>
          </cell>
          <cell r="D245" t="str">
            <v>Tiêm, uống</v>
          </cell>
        </row>
        <row r="246">
          <cell r="B246">
            <v>241</v>
          </cell>
          <cell r="C246" t="str">
            <v>Sulfadiazin bạc</v>
          </cell>
          <cell r="D246" t="str">
            <v>Dùng ngoài</v>
          </cell>
        </row>
        <row r="247">
          <cell r="B247">
            <v>242</v>
          </cell>
          <cell r="C247" t="str">
            <v xml:space="preserve">Sulfadimidin (muối natri) </v>
          </cell>
          <cell r="D247" t="str">
            <v>Uống</v>
          </cell>
        </row>
        <row r="248">
          <cell r="B248">
            <v>243</v>
          </cell>
          <cell r="C248" t="str">
            <v xml:space="preserve">Sulfadoxin + pyrimethamin </v>
          </cell>
          <cell r="D248" t="str">
            <v>Uống</v>
          </cell>
        </row>
        <row r="249">
          <cell r="B249">
            <v>244</v>
          </cell>
          <cell r="C249" t="str">
            <v xml:space="preserve">Sulfaguanidin </v>
          </cell>
          <cell r="D249" t="str">
            <v>Uống</v>
          </cell>
        </row>
        <row r="250">
          <cell r="B250">
            <v>245</v>
          </cell>
          <cell r="C250" t="str">
            <v>Sulfamethoxazol + trimethoprim</v>
          </cell>
          <cell r="D250" t="str">
            <v>Uống</v>
          </cell>
        </row>
        <row r="251">
          <cell r="B251">
            <v>246</v>
          </cell>
          <cell r="C251" t="str">
            <v>Sulfasalazin</v>
          </cell>
          <cell r="D251" t="str">
            <v>Uống</v>
          </cell>
        </row>
        <row r="252">
          <cell r="B252">
            <v>247</v>
          </cell>
          <cell r="C252" t="str">
            <v>Doxycyclin</v>
          </cell>
          <cell r="D252" t="str">
            <v>Uống</v>
          </cell>
        </row>
        <row r="253">
          <cell r="B253">
            <v>248</v>
          </cell>
          <cell r="C253" t="str">
            <v xml:space="preserve">Minocyclin </v>
          </cell>
          <cell r="D253" t="str">
            <v>Tiêm, uống</v>
          </cell>
        </row>
        <row r="254">
          <cell r="B254">
            <v>249</v>
          </cell>
          <cell r="C254" t="str">
            <v xml:space="preserve">Tigecyclin </v>
          </cell>
          <cell r="D254" t="str">
            <v>Tiêm/truyền</v>
          </cell>
          <cell r="E254" t="str">
            <v>- BBHC + Phiếu duyệt KS + Duyệt GĐ
- Quỹ bảo hiểm y tế thanh toán khi phác đồ sử dụng kháng sinh ban đầu không có hiệu quả trong nhiễm khuẩn ổ bụng, nhiễm khuẩn da, mô mềm biến chứng.</v>
          </cell>
          <cell r="F254" t="str">
            <v>- BBHC + Phiếu duyệt KS + Duyệt GĐ
- Quỹ bảo hiểm y tế thanh toán khi phác đồ sử dụng kháng sinh ban đầu không có hiệu quả trong nhiễm khuẩn ổ bụng, nhiễm khuẩn da, mô mềm biến chứng.</v>
          </cell>
        </row>
        <row r="255">
          <cell r="B255">
            <v>250</v>
          </cell>
          <cell r="C255" t="str">
            <v>Tetracyclin hydroclorid</v>
          </cell>
          <cell r="D255" t="str">
            <v>Tra mắt, uống</v>
          </cell>
        </row>
        <row r="256">
          <cell r="B256">
            <v>251</v>
          </cell>
          <cell r="C256" t="str">
            <v>Argyrol</v>
          </cell>
          <cell r="D256" t="str">
            <v>Nhỏ mắt</v>
          </cell>
        </row>
        <row r="257">
          <cell r="B257">
            <v>252</v>
          </cell>
          <cell r="C257" t="str">
            <v>Colistin*</v>
          </cell>
          <cell r="D257" t="str">
            <v>Tiêm/truyền</v>
          </cell>
          <cell r="E257" t="str">
            <v>BBHC + Phiếu duyệt KS + Duyệt GĐ</v>
          </cell>
          <cell r="F257" t="str">
            <v>BBHC + Phiếu duyệt KS + Duyệt GĐ</v>
          </cell>
        </row>
        <row r="258">
          <cell r="B258">
            <v>253</v>
          </cell>
          <cell r="C258" t="str">
            <v xml:space="preserve">Daptomycin </v>
          </cell>
          <cell r="D258" t="str">
            <v>Tiêm</v>
          </cell>
        </row>
        <row r="259">
          <cell r="B259">
            <v>254</v>
          </cell>
          <cell r="C259" t="str">
            <v>Fosfomycin*</v>
          </cell>
          <cell r="D259" t="str">
            <v>Tiêm/truyền</v>
          </cell>
          <cell r="E259" t="str">
            <v>BBHC + Phiếu duyệt KS + Duyệt GĐ</v>
          </cell>
          <cell r="F259" t="str">
            <v>BBHC + Phiếu duyệt KS + Duyệt GĐ</v>
          </cell>
        </row>
        <row r="260">
          <cell r="B260">
            <v>254</v>
          </cell>
          <cell r="C260" t="str">
            <v>Fosfomycin*</v>
          </cell>
          <cell r="D260" t="str">
            <v>Uống</v>
          </cell>
          <cell r="E260" t="str">
            <v>BBHC + Duyệt GĐ</v>
          </cell>
          <cell r="F260" t="str">
            <v>BBHC + Duyệt GĐ</v>
          </cell>
        </row>
        <row r="261">
          <cell r="B261">
            <v>255</v>
          </cell>
          <cell r="C261" t="str">
            <v>Linezolid*</v>
          </cell>
          <cell r="D261" t="str">
            <v>Tiêm/truyền</v>
          </cell>
          <cell r="E261" t="str">
            <v>BBHC + Phiếu duyệt KS + Duyệt GĐ</v>
          </cell>
          <cell r="F261" t="str">
            <v>BBHC + Phiếu duyệt KS + Duyệt GĐ</v>
          </cell>
        </row>
        <row r="262">
          <cell r="B262">
            <v>256</v>
          </cell>
          <cell r="C262" t="str">
            <v xml:space="preserve">Nitrofurantoin </v>
          </cell>
          <cell r="D262" t="str">
            <v>Uống</v>
          </cell>
        </row>
        <row r="263">
          <cell r="B263">
            <v>257</v>
          </cell>
          <cell r="C263" t="str">
            <v xml:space="preserve">Rifampicin </v>
          </cell>
          <cell r="D263" t="str">
            <v>Dùng ngoài, nhỏ mắt, nhỏ tai</v>
          </cell>
        </row>
        <row r="264">
          <cell r="B264">
            <v>258</v>
          </cell>
          <cell r="C264" t="str">
            <v>Teicoplanin*</v>
          </cell>
          <cell r="D264" t="str">
            <v>Tiêm/truyền</v>
          </cell>
          <cell r="E264" t="str">
            <v>BBHC + Phiếu duyệt KS + Duyệt GĐ</v>
          </cell>
          <cell r="F264" t="str">
            <v>BBHC + Phiếu duyệt KS + Duyệt GĐ</v>
          </cell>
        </row>
        <row r="265">
          <cell r="B265">
            <v>259</v>
          </cell>
          <cell r="C265" t="str">
            <v>Vancomycin*</v>
          </cell>
          <cell r="D265" t="str">
            <v>Tiêm/truyền</v>
          </cell>
          <cell r="E265" t="str">
            <v>BBHC + Phiếu duyệt KS + Duyệt GĐ</v>
          </cell>
          <cell r="F265" t="str">
            <v>BBHC + Phiếu duyệt KS + Duyệt GĐ</v>
          </cell>
        </row>
        <row r="266">
          <cell r="B266">
            <v>260</v>
          </cell>
          <cell r="C266" t="str">
            <v xml:space="preserve">Abacavir (ABC) </v>
          </cell>
          <cell r="D266" t="str">
            <v>Uống</v>
          </cell>
        </row>
        <row r="267">
          <cell r="B267">
            <v>261</v>
          </cell>
          <cell r="C267" t="str">
            <v xml:space="preserve">Darunavir </v>
          </cell>
          <cell r="D267" t="str">
            <v>Uống</v>
          </cell>
        </row>
        <row r="268">
          <cell r="B268">
            <v>262</v>
          </cell>
          <cell r="C268" t="str">
            <v xml:space="preserve">Efavirenz (EFV hoặc EFZ) </v>
          </cell>
          <cell r="D268" t="str">
            <v>Uống</v>
          </cell>
        </row>
        <row r="269">
          <cell r="B269">
            <v>263</v>
          </cell>
          <cell r="C269" t="str">
            <v>Lamivudin</v>
          </cell>
          <cell r="D269" t="str">
            <v>Uống</v>
          </cell>
        </row>
        <row r="270">
          <cell r="B270">
            <v>264</v>
          </cell>
          <cell r="C270" t="str">
            <v xml:space="preserve">Nevirapin (NVP) </v>
          </cell>
          <cell r="D270" t="str">
            <v>Uống</v>
          </cell>
        </row>
        <row r="271">
          <cell r="B271">
            <v>265</v>
          </cell>
          <cell r="C271" t="str">
            <v xml:space="preserve">Raltegravir </v>
          </cell>
          <cell r="D271" t="str">
            <v>Uống</v>
          </cell>
        </row>
        <row r="272">
          <cell r="B272">
            <v>266</v>
          </cell>
          <cell r="C272" t="str">
            <v xml:space="preserve">Ritonavir </v>
          </cell>
          <cell r="D272" t="str">
            <v>Uống</v>
          </cell>
        </row>
        <row r="273">
          <cell r="B273">
            <v>267</v>
          </cell>
          <cell r="C273" t="str">
            <v>Tenofovir (TDF)</v>
          </cell>
          <cell r="D273" t="str">
            <v>Uống</v>
          </cell>
        </row>
        <row r="274">
          <cell r="B274">
            <v>268</v>
          </cell>
          <cell r="C274" t="str">
            <v xml:space="preserve">Zidovudin (ZDV hoặc AZT) </v>
          </cell>
          <cell r="D274" t="str">
            <v>Uống</v>
          </cell>
        </row>
        <row r="275">
          <cell r="B275">
            <v>269</v>
          </cell>
          <cell r="C275" t="str">
            <v>Lamivudin + tenofovir</v>
          </cell>
          <cell r="D275" t="str">
            <v>Uống</v>
          </cell>
        </row>
        <row r="276">
          <cell r="B276">
            <v>270</v>
          </cell>
          <cell r="C276" t="str">
            <v xml:space="preserve">Lamivudine+ zidovudin </v>
          </cell>
          <cell r="D276" t="str">
            <v>Uống</v>
          </cell>
        </row>
        <row r="277">
          <cell r="B277">
            <v>271</v>
          </cell>
          <cell r="C277" t="str">
            <v>Lopinavir + ritonavir  
(LPV/r)</v>
          </cell>
          <cell r="D277" t="str">
            <v>Uống</v>
          </cell>
        </row>
        <row r="278">
          <cell r="B278">
            <v>272</v>
          </cell>
          <cell r="C278" t="str">
            <v>Tenofovir + lamivudin +  efavirenz</v>
          </cell>
          <cell r="D278" t="str">
            <v>Uống</v>
          </cell>
        </row>
        <row r="279">
          <cell r="B279">
            <v>273</v>
          </cell>
          <cell r="C279" t="str">
            <v>Tenofovir + lamivudin +  dolutegravir</v>
          </cell>
          <cell r="D279" t="str">
            <v>Uống</v>
          </cell>
        </row>
        <row r="280">
          <cell r="B280">
            <v>274</v>
          </cell>
          <cell r="C280" t="str">
            <v>Zidovudin (ZDV hoặc AZT)  + lamivudin + nevirapin  (NVP)</v>
          </cell>
          <cell r="D280" t="str">
            <v>Uống</v>
          </cell>
        </row>
        <row r="281">
          <cell r="B281">
            <v>275</v>
          </cell>
          <cell r="C281" t="str">
            <v>Daclatasvir</v>
          </cell>
          <cell r="D281" t="str">
            <v>Uống</v>
          </cell>
          <cell r="E281" t="str">
            <v>Quỹ bảo hiểm y tế thanh toán 50%</v>
          </cell>
          <cell r="F281" t="str">
            <v>Quỹ bảo hiểm y tế thanh toán 50%</v>
          </cell>
        </row>
        <row r="282">
          <cell r="B282">
            <v>276</v>
          </cell>
          <cell r="C282" t="str">
            <v>Sofosbuvir</v>
          </cell>
          <cell r="D282" t="str">
            <v>Uống</v>
          </cell>
          <cell r="E282" t="str">
            <v>Quỹ bảo hiểm y tế thanh toán 50%.</v>
          </cell>
          <cell r="F282" t="str">
            <v>Quỹ bảo hiểm y tế thanh toán 50%.</v>
          </cell>
        </row>
        <row r="283">
          <cell r="B283">
            <v>277</v>
          </cell>
          <cell r="C283" t="str">
            <v xml:space="preserve">Sofosbuvir + ledipasvir </v>
          </cell>
          <cell r="D283" t="str">
            <v>Uống</v>
          </cell>
          <cell r="E283" t="str">
            <v>Quỹ bảo hiểm y tế thanh  toán 50%.</v>
          </cell>
          <cell r="F283" t="str">
            <v>Quỹ bảo hiểm y tế thanh  toán 50%.</v>
          </cell>
        </row>
        <row r="284">
          <cell r="B284">
            <v>278</v>
          </cell>
          <cell r="C284" t="str">
            <v xml:space="preserve">Sofosbuvir + velpatasvir </v>
          </cell>
          <cell r="D284" t="str">
            <v>Uống</v>
          </cell>
          <cell r="E284" t="str">
            <v>Quỹ bảo hiểm y tế thanh  toán 50%.</v>
          </cell>
          <cell r="F284" t="str">
            <v>Quỹ bảo hiểm y tế thanh  toán 50%.</v>
          </cell>
        </row>
        <row r="285">
          <cell r="B285">
            <v>279</v>
          </cell>
          <cell r="C285" t="str">
            <v>Pegylated interferon  
(peginterferon) alpha  
(2a hoặc 2b)</v>
          </cell>
          <cell r="D285" t="str">
            <v>Tiêm</v>
          </cell>
          <cell r="E285" t="str">
            <v>Quỹ bảo hiểm y tế thanh  toán điều trị viêm gan C  theo hướng dẫn chẩn đoán  và điều trị của Bộ Y tế trong  trường hợp không sử dụng  được các thuốc kháng vi rút  trực tiếp (Direct acting  antivirals - DAAs); thanh  toán 30%.</v>
          </cell>
          <cell r="F285" t="str">
            <v>Quỹ bảo hiểm y tế thanh  toán điều trị viêm gan C  theo hướng dẫn chẩn đoán  và điều trị của Bộ Y tế trong  trường hợp không sử dụng  được các thuốc kháng vi rút  trực tiếp (Direct acting  antivirals - DAAs); thanh  toán 30%.</v>
          </cell>
        </row>
        <row r="286">
          <cell r="B286">
            <v>280</v>
          </cell>
          <cell r="C286" t="str">
            <v>Aciclovir</v>
          </cell>
          <cell r="D286" t="str">
            <v>Dùng ngoài, tra mắt, uống</v>
          </cell>
        </row>
        <row r="287">
          <cell r="B287">
            <v>281</v>
          </cell>
          <cell r="C287" t="str">
            <v>Entecavir</v>
          </cell>
          <cell r="D287" t="str">
            <v>Uống</v>
          </cell>
        </row>
        <row r="288">
          <cell r="B288">
            <v>282</v>
          </cell>
          <cell r="C288" t="str">
            <v xml:space="preserve">Gancyclovir* </v>
          </cell>
          <cell r="D288" t="str">
            <v>Tiêm, uống</v>
          </cell>
        </row>
        <row r="289">
          <cell r="B289">
            <v>283</v>
          </cell>
          <cell r="C289" t="str">
            <v>Oseltamivir</v>
          </cell>
          <cell r="D289" t="str">
            <v>Uống</v>
          </cell>
          <cell r="E289" t="str">
            <v>Quỹ bảo hiểm y tế thanh toán điều trị nhiễm vi rút cúm.</v>
          </cell>
          <cell r="F289" t="str">
            <v>Quỹ bảo hiểm y tế thanh toán điều trị nhiễm vi rút cúm.</v>
          </cell>
        </row>
        <row r="290">
          <cell r="B290">
            <v>284</v>
          </cell>
          <cell r="C290" t="str">
            <v xml:space="preserve">Ribavirin </v>
          </cell>
          <cell r="D290" t="str">
            <v>Uống</v>
          </cell>
        </row>
        <row r="291">
          <cell r="B291">
            <v>285</v>
          </cell>
          <cell r="C291" t="str">
            <v>Valganciclovir*</v>
          </cell>
          <cell r="D291" t="str">
            <v>Uống</v>
          </cell>
          <cell r="E291" t="str">
            <v>- BBHC + Phiếu duyệt KS + Duyệt GĐ'
- Quỹ bảo hiểm y tế thanh toán điều trị các bệnh do vi rút cự bào (Cytomegalovirus - CMV) tái hoạt động trên bệnh nhân ghép tạng hoặc ghép tế bào gốc; thanh toán 50%.</v>
          </cell>
          <cell r="F291" t="str">
            <v>- BBHC + Phiếu duyệt KS + Duyệt GĐ'
- Quỹ bảo hiểm y tế thanh toán điều trị các bệnh do vi rút cự bào (Cytomegalovirus - CMV) tái hoạt động trên bệnh nhân ghép tạng hoặc ghép tế bào gốc; thanh toán 50%.</v>
          </cell>
        </row>
        <row r="292">
          <cell r="B292">
            <v>286</v>
          </cell>
          <cell r="C292" t="str">
            <v xml:space="preserve">Zanamivir </v>
          </cell>
          <cell r="D292" t="str">
            <v>Dạng hít</v>
          </cell>
        </row>
        <row r="293">
          <cell r="B293">
            <v>287</v>
          </cell>
          <cell r="C293" t="str">
            <v>Molnupiravir</v>
          </cell>
          <cell r="D293" t="str">
            <v>Uống</v>
          </cell>
          <cell r="F293" t="str">
            <v>Quỹ bảo hiểm y tế thanh toán trong điều trị COVID-19 theo hướng dẫn chẩn đoán và điều trị COVID-19 của Bộ Y tế.</v>
          </cell>
        </row>
        <row r="294">
          <cell r="B294">
            <v>288</v>
          </cell>
          <cell r="C294" t="str">
            <v>Amphotericin B*</v>
          </cell>
          <cell r="D294" t="str">
            <v>Tiêm/truyền</v>
          </cell>
          <cell r="E294" t="str">
            <v>BBHC + Phiếu duyệt KS + Duyệt GĐ</v>
          </cell>
          <cell r="F294" t="str">
            <v>BBHC + Phiếu duyệt KS + Duyệt GĐ</v>
          </cell>
        </row>
        <row r="295">
          <cell r="B295">
            <v>289</v>
          </cell>
          <cell r="C295" t="str">
            <v>Anidulafungin</v>
          </cell>
          <cell r="D295" t="str">
            <v>Tiêm</v>
          </cell>
          <cell r="F295" t="str">
            <v>Quỹ bảo hiểm y tế thanh toán trong điều trị COVID-19 theo hướng dẫn chẩn đoán và điều trị COVID-19 của Bộ Y tế.</v>
          </cell>
        </row>
        <row r="296">
          <cell r="B296">
            <v>290</v>
          </cell>
          <cell r="C296" t="str">
            <v>Butoconazol nitrat</v>
          </cell>
          <cell r="D296" t="str">
            <v>Bôi âm đạo</v>
          </cell>
        </row>
        <row r="297">
          <cell r="B297">
            <v>291</v>
          </cell>
          <cell r="C297" t="str">
            <v>Caspofungin*</v>
          </cell>
          <cell r="D297" t="str">
            <v>Tiêm/truyền</v>
          </cell>
          <cell r="E297"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cell r="F297" t="str">
            <v>- BBHC + Phiếu duyệt KS + Duyệt GĐ
- Quỹ bảo hiểm y tế thanh toán trong trường hợp:
'+ Điều trị theo kinh nghiệm nhiễm nấm xâm lấn (Candida hoặc Aspergilus) ở bệnh nhân nguy cơ cao có sốt, giảm bạch cầu trung tính;
'+ Điều trị nhiễm nấm Candida xâm lấn;
'+ Điều trị nhiễm nấm Aspergillus xâm lấn ở bệnh nhân kháng trị hoặc không dung nạp với các trị liệu khác.</v>
          </cell>
        </row>
        <row r="298">
          <cell r="B298">
            <v>292</v>
          </cell>
          <cell r="C298" t="str">
            <v xml:space="preserve">Ciclopiroxolamin </v>
          </cell>
          <cell r="D298" t="str">
            <v>Dùng ngoài</v>
          </cell>
        </row>
        <row r="299">
          <cell r="B299">
            <v>293</v>
          </cell>
          <cell r="C299" t="str">
            <v xml:space="preserve">Clotrimazol </v>
          </cell>
          <cell r="D299" t="str">
            <v>Đặt âm đạo</v>
          </cell>
        </row>
        <row r="300">
          <cell r="B300">
            <v>294</v>
          </cell>
          <cell r="C300" t="str">
            <v>Dequalinium clorid</v>
          </cell>
          <cell r="D300" t="str">
            <v>Đặt âm đạo</v>
          </cell>
        </row>
        <row r="301">
          <cell r="B301">
            <v>295</v>
          </cell>
          <cell r="C301" t="str">
            <v xml:space="preserve">Econazol </v>
          </cell>
          <cell r="D301" t="str">
            <v>Dùng ngoài, đặt âm đạo</v>
          </cell>
        </row>
        <row r="302">
          <cell r="B302">
            <v>296</v>
          </cell>
          <cell r="C302" t="str">
            <v>Fluconazol</v>
          </cell>
          <cell r="D302" t="str">
            <v>Tiêm/truyền, uống</v>
          </cell>
        </row>
        <row r="303">
          <cell r="B303">
            <v>297</v>
          </cell>
          <cell r="C303" t="str">
            <v xml:space="preserve">Fenticonazol nitrat </v>
          </cell>
          <cell r="D303" t="str">
            <v>Đặt ấm đạo, dùng ngoài</v>
          </cell>
        </row>
        <row r="304">
          <cell r="B304">
            <v>298</v>
          </cell>
          <cell r="C304" t="str">
            <v xml:space="preserve">Flucytosin </v>
          </cell>
          <cell r="D304" t="str">
            <v>Tiêm</v>
          </cell>
        </row>
        <row r="305">
          <cell r="B305">
            <v>299</v>
          </cell>
          <cell r="C305" t="str">
            <v xml:space="preserve">Griseofulvin </v>
          </cell>
          <cell r="D305" t="str">
            <v>Uống, dùng ngoài</v>
          </cell>
        </row>
        <row r="306">
          <cell r="B306">
            <v>300</v>
          </cell>
          <cell r="C306" t="str">
            <v>Itraconazol</v>
          </cell>
          <cell r="D306" t="str">
            <v>Tiêm/truyền, uống</v>
          </cell>
        </row>
        <row r="307">
          <cell r="B307">
            <v>301</v>
          </cell>
          <cell r="C307" t="str">
            <v>Ketoconazol</v>
          </cell>
          <cell r="D307" t="str">
            <v>Nhỏ mắt, dùng ngoài, đặt âm đạo</v>
          </cell>
        </row>
        <row r="308">
          <cell r="B308">
            <v>302</v>
          </cell>
          <cell r="C308" t="str">
            <v>Micafungin</v>
          </cell>
          <cell r="D308" t="str">
            <v>Tiêm</v>
          </cell>
          <cell r="F308" t="str">
            <v>Quỹ bảo hiểm y tế thanh toán trong điều trị COVID-19 theo hướng dẫn chẩn đoán và điều trị COVID-19 của Bộ Y tế.</v>
          </cell>
        </row>
        <row r="309">
          <cell r="B309">
            <v>303</v>
          </cell>
          <cell r="C309" t="str">
            <v xml:space="preserve">Miconazol </v>
          </cell>
          <cell r="D309" t="str">
            <v>Dùng ngoài, đặt âm đạo</v>
          </cell>
        </row>
        <row r="310">
          <cell r="B310">
            <v>304</v>
          </cell>
          <cell r="C310" t="str">
            <v>Natamycin</v>
          </cell>
          <cell r="D310" t="str">
            <v>Nhỏ mắt</v>
          </cell>
        </row>
        <row r="311">
          <cell r="B311">
            <v>305</v>
          </cell>
          <cell r="C311" t="str">
            <v>Nystatin</v>
          </cell>
          <cell r="D311" t="str">
            <v>Đặt âm đạo, uống</v>
          </cell>
        </row>
        <row r="312">
          <cell r="B312">
            <v>306</v>
          </cell>
          <cell r="C312" t="str">
            <v xml:space="preserve">Policresulen </v>
          </cell>
          <cell r="D312" t="str">
            <v>Đặt âm đạo</v>
          </cell>
        </row>
        <row r="313">
          <cell r="B313">
            <v>307</v>
          </cell>
          <cell r="C313" t="str">
            <v xml:space="preserve">Posaconazol* </v>
          </cell>
          <cell r="D313" t="str">
            <v>Uống</v>
          </cell>
          <cell r="E313" t="str">
            <v>Quỹ bảo hiểm y tế thanh  toán 50% trong trường hợp: - Nhiễm nấm Fusarium,  nhiễm nấm Zygomycetes,  bệnh nấm Cryptococcus,  bệnh nấm màu và u nấm ở  những bệnh nhân mắc bệnh  kháng trị với các thuốc khác  hoặc những bệnh nhân  
không dung nạp với các  thuốc khác; 
- Bệnh nấm Coccidioides  immitis, bệnh nấm  
Coccidioides immitis đã thất  bại hoặc không dung nạp với  các thuốc chống nấm khác.</v>
          </cell>
          <cell r="F313" t="str">
            <v>Quỹ bảo hiểm y tế thanh  toán 50% trong trường hợp: - Nhiễm nấm Fusarium,  nhiễm nấm Zygomycetes,  bệnh nấm Cryptococcus,  bệnh nấm màu và u nấm ở  những bệnh nhân mắc bệnh  kháng trị với các thuốc khác  hoặc những bệnh nhân  
không dung nạp với các  thuốc khác; 
- Bệnh nấm Coccidioides  immitis, bệnh nấm  
Coccidioides immitis đã thất  bại hoặc không dung nạp với  các thuốc chống nấm khác.</v>
          </cell>
        </row>
        <row r="314">
          <cell r="B314">
            <v>308</v>
          </cell>
          <cell r="C314" t="str">
            <v xml:space="preserve">Terbinafin (hydroclorid) </v>
          </cell>
          <cell r="D314" t="str">
            <v>Uống, dùng ngoài</v>
          </cell>
        </row>
        <row r="315">
          <cell r="B315">
            <v>309</v>
          </cell>
          <cell r="C315" t="str">
            <v>Voriconazol*</v>
          </cell>
          <cell r="D315" t="str">
            <v>Uống</v>
          </cell>
          <cell r="E315" t="str">
            <v>-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v>
          </cell>
          <cell r="F315" t="str">
            <v>- BBHC + Phiếu duyệt KS + Duyệt GĐ.
- Quỹ bảo hiểm y tế thanh toán 50% trong điều trị:
+ Nhiễm Asperillus nấm xâm lấn;
+ Nhiễm Candida huyết trên bệnh nhân không giảm bạch cầu;
+ Nhiễm nấm Candida xâm lấn nặng kháng fluconazol;
+ Điều trị nhiễm nấm nặng gây ra bởi Scedosporium spp. và Fusarium spp. cho những bệnh nhân không đáp ứng các điều trị khác.</v>
          </cell>
        </row>
        <row r="316">
          <cell r="B316">
            <v>310</v>
          </cell>
          <cell r="C316" t="str">
            <v>Clotrimazol + betamethason</v>
          </cell>
          <cell r="D316" t="str">
            <v>Dùng ngoài</v>
          </cell>
        </row>
        <row r="317">
          <cell r="B317">
            <v>311</v>
          </cell>
          <cell r="C317" t="str">
            <v xml:space="preserve">Clorquinaldol + promestrien </v>
          </cell>
          <cell r="D317" t="str">
            <v>Đặt âm đạo</v>
          </cell>
        </row>
        <row r="318">
          <cell r="B318">
            <v>312</v>
          </cell>
          <cell r="C318" t="str">
            <v xml:space="preserve">Miconazol + hydrocortison </v>
          </cell>
          <cell r="D318" t="str">
            <v>Dùng ngoài</v>
          </cell>
        </row>
        <row r="319">
          <cell r="B319">
            <v>313</v>
          </cell>
          <cell r="C319" t="str">
            <v>Nystatin + metronidazol +  neomycin</v>
          </cell>
          <cell r="D319" t="str">
            <v>Đặt âm đạo</v>
          </cell>
        </row>
        <row r="320">
          <cell r="B320">
            <v>314</v>
          </cell>
          <cell r="C320" t="str">
            <v>Nystatin + neomycin + polymyxin B</v>
          </cell>
          <cell r="D320" t="str">
            <v>Đặt âm đạo</v>
          </cell>
        </row>
        <row r="321">
          <cell r="B321">
            <v>315</v>
          </cell>
          <cell r="C321" t="str">
            <v xml:space="preserve">Diiodohydroxyquinolin </v>
          </cell>
          <cell r="D321" t="str">
            <v>Uống</v>
          </cell>
        </row>
        <row r="322">
          <cell r="B322">
            <v>316</v>
          </cell>
          <cell r="C322" t="str">
            <v>Hydroxy cloroquin</v>
          </cell>
          <cell r="D322" t="str">
            <v>Uống</v>
          </cell>
        </row>
        <row r="323">
          <cell r="B323">
            <v>317</v>
          </cell>
          <cell r="C323" t="str">
            <v xml:space="preserve">Metronidazol </v>
          </cell>
          <cell r="D323" t="str">
            <v>Tiêm, uống</v>
          </cell>
        </row>
        <row r="324">
          <cell r="B324">
            <v>318</v>
          </cell>
          <cell r="C324" t="str">
            <v>Ethambutol</v>
          </cell>
          <cell r="D324" t="str">
            <v>Uống</v>
          </cell>
        </row>
        <row r="325">
          <cell r="B325">
            <v>319</v>
          </cell>
          <cell r="C325" t="str">
            <v>Isoniazid</v>
          </cell>
          <cell r="D325" t="str">
            <v>Uống</v>
          </cell>
        </row>
        <row r="326">
          <cell r="B326">
            <v>320</v>
          </cell>
          <cell r="C326" t="str">
            <v xml:space="preserve">Isoniazid + ethambutol </v>
          </cell>
          <cell r="D326" t="str">
            <v>Uống</v>
          </cell>
        </row>
        <row r="327">
          <cell r="B327">
            <v>321</v>
          </cell>
          <cell r="C327" t="str">
            <v>Pyrazinamid</v>
          </cell>
          <cell r="D327" t="str">
            <v>Uống</v>
          </cell>
        </row>
        <row r="328">
          <cell r="B328">
            <v>322</v>
          </cell>
          <cell r="C328" t="str">
            <v>Rifampicin</v>
          </cell>
          <cell r="D328" t="str">
            <v>Uống</v>
          </cell>
        </row>
        <row r="329">
          <cell r="B329">
            <v>323</v>
          </cell>
          <cell r="C329" t="str">
            <v>Rifampicin + isoniazid</v>
          </cell>
          <cell r="D329" t="str">
            <v>Uống</v>
          </cell>
        </row>
        <row r="330">
          <cell r="B330">
            <v>324</v>
          </cell>
          <cell r="C330" t="str">
            <v>Rifampicin + isoniazid +  pyrazinamid</v>
          </cell>
          <cell r="D330" t="str">
            <v>Uống</v>
          </cell>
        </row>
        <row r="331">
          <cell r="B331">
            <v>325</v>
          </cell>
          <cell r="C331" t="str">
            <v>Rifampicin + isoniazid +  pyrazinamid + ethambutol</v>
          </cell>
          <cell r="D331" t="str">
            <v>Uống</v>
          </cell>
        </row>
        <row r="332">
          <cell r="B332">
            <v>326</v>
          </cell>
          <cell r="C332" t="str">
            <v xml:space="preserve">Streptomycin </v>
          </cell>
          <cell r="D332" t="str">
            <v>Tiêm</v>
          </cell>
        </row>
        <row r="333">
          <cell r="B333">
            <v>327</v>
          </cell>
          <cell r="C333" t="str">
            <v xml:space="preserve">Amikacin </v>
          </cell>
          <cell r="D333" t="str">
            <v>Tiêm</v>
          </cell>
        </row>
        <row r="334">
          <cell r="B334">
            <v>328</v>
          </cell>
          <cell r="C334" t="str">
            <v xml:space="preserve">Bedaquiline </v>
          </cell>
          <cell r="D334" t="str">
            <v>Uống</v>
          </cell>
        </row>
        <row r="335">
          <cell r="B335">
            <v>329</v>
          </cell>
          <cell r="C335" t="str">
            <v xml:space="preserve">Capreomycin </v>
          </cell>
          <cell r="D335" t="str">
            <v>Tiêm</v>
          </cell>
        </row>
        <row r="336">
          <cell r="B336">
            <v>330</v>
          </cell>
          <cell r="C336" t="str">
            <v xml:space="preserve">Clofazimine </v>
          </cell>
          <cell r="D336" t="str">
            <v>Uống</v>
          </cell>
        </row>
        <row r="337">
          <cell r="B337">
            <v>331</v>
          </cell>
          <cell r="C337" t="str">
            <v xml:space="preserve">Cycloserin </v>
          </cell>
          <cell r="D337" t="str">
            <v>Uống</v>
          </cell>
        </row>
        <row r="338">
          <cell r="B338">
            <v>332</v>
          </cell>
          <cell r="C338" t="str">
            <v xml:space="preserve">Delamanid </v>
          </cell>
          <cell r="D338" t="str">
            <v>Uống</v>
          </cell>
        </row>
        <row r="339">
          <cell r="B339">
            <v>333</v>
          </cell>
          <cell r="C339" t="str">
            <v xml:space="preserve">Ethionamid </v>
          </cell>
          <cell r="D339" t="str">
            <v>Uống</v>
          </cell>
        </row>
        <row r="340">
          <cell r="B340">
            <v>334</v>
          </cell>
          <cell r="C340" t="str">
            <v xml:space="preserve">Kanamycin </v>
          </cell>
          <cell r="D340" t="str">
            <v>Tiêm</v>
          </cell>
        </row>
        <row r="341">
          <cell r="B341">
            <v>335</v>
          </cell>
          <cell r="C341" t="str">
            <v xml:space="preserve">PAS- Na </v>
          </cell>
          <cell r="D341" t="str">
            <v>Uống</v>
          </cell>
        </row>
        <row r="342">
          <cell r="B342">
            <v>336</v>
          </cell>
          <cell r="C342" t="str">
            <v xml:space="preserve">Prothionamid </v>
          </cell>
          <cell r="D342" t="str">
            <v>Uống</v>
          </cell>
        </row>
        <row r="343">
          <cell r="B343">
            <v>337</v>
          </cell>
          <cell r="C343" t="str">
            <v xml:space="preserve">Artesunat </v>
          </cell>
          <cell r="D343" t="str">
            <v>Tiêm</v>
          </cell>
        </row>
        <row r="344">
          <cell r="B344">
            <v>338</v>
          </cell>
          <cell r="C344" t="str">
            <v xml:space="preserve">Cloroquin </v>
          </cell>
          <cell r="D344" t="str">
            <v>Tiêm, uống</v>
          </cell>
        </row>
        <row r="345">
          <cell r="B345">
            <v>339</v>
          </cell>
          <cell r="C345" t="str">
            <v>Piperaquin +  
dihydroartemisinin</v>
          </cell>
          <cell r="D345" t="str">
            <v>Uống</v>
          </cell>
        </row>
        <row r="346">
          <cell r="B346">
            <v>340</v>
          </cell>
          <cell r="C346" t="str">
            <v xml:space="preserve">Primaquin </v>
          </cell>
          <cell r="D346" t="str">
            <v>Uống</v>
          </cell>
        </row>
        <row r="347">
          <cell r="B347">
            <v>341</v>
          </cell>
          <cell r="C347" t="str">
            <v>Quinin</v>
          </cell>
          <cell r="D347" t="str">
            <v>Tiêm, uống</v>
          </cell>
        </row>
        <row r="348">
          <cell r="B348">
            <v>342</v>
          </cell>
          <cell r="C348" t="str">
            <v>Dihydro ergotamin mesylat</v>
          </cell>
          <cell r="D348" t="str">
            <v>Uống</v>
          </cell>
        </row>
        <row r="349">
          <cell r="B349">
            <v>343</v>
          </cell>
          <cell r="C349" t="str">
            <v xml:space="preserve">Ergotamin (tartrat) </v>
          </cell>
          <cell r="D349" t="str">
            <v>Tiêm, uống</v>
          </cell>
        </row>
        <row r="350">
          <cell r="B350">
            <v>344</v>
          </cell>
          <cell r="C350" t="str">
            <v>Flunarizin</v>
          </cell>
          <cell r="D350" t="str">
            <v>Uống</v>
          </cell>
          <cell r="E350" t="str">
            <v>Quỹ bảo hiểm y tế thanh toán điều trị dự phòng cơn đau nửa đầu trong trường hợp các biện pháp điều trị khác không có hiệu quả hoặc kém dung nạp.</v>
          </cell>
          <cell r="F350" t="str">
            <v>Quỹ bảo hiểm y tế thanh toán điều trị dự phòng cơn đau nửa đầu trong trường hợp các biện pháp điều trị khác không có hiệu quả hoặc kém dung nạp.</v>
          </cell>
        </row>
        <row r="351">
          <cell r="B351">
            <v>345</v>
          </cell>
          <cell r="C351" t="str">
            <v>Sumatriptan</v>
          </cell>
          <cell r="D351" t="str">
            <v>Uống</v>
          </cell>
        </row>
        <row r="352">
          <cell r="B352">
            <v>346</v>
          </cell>
          <cell r="C352" t="str">
            <v>Arsenic trioxid</v>
          </cell>
          <cell r="D352" t="str">
            <v>Tiêm</v>
          </cell>
        </row>
        <row r="353">
          <cell r="B353">
            <v>347</v>
          </cell>
          <cell r="C353" t="str">
            <v>Bendamustine</v>
          </cell>
          <cell r="D353" t="str">
            <v>Tiêm/truyền</v>
          </cell>
          <cell r="E353" t="str">
            <v>Quỹ bảo hiểm y tế thanh toán điều trị bệnh bạch cầu lymphô mạn binet B/C không phù hợp hóa trị với Fludarabin; U lymphô không Hodgkin, diễn tiến chậm, tiến triển sau điều trị với Rituximab; thanh toán 50%.</v>
          </cell>
          <cell r="F353" t="str">
            <v>Quỹ bảo hiểm y tế thanh toán điều trị bệnh bạch cầu lymphô mạn binet B/C không phù hợp hóa trị với Fludarabin; U lymphô không Hodgkin, diễn tiến chậm, tiến triển sau điều trị với Rituximab; thanh toán 50%.</v>
          </cell>
        </row>
        <row r="354">
          <cell r="B354">
            <v>348</v>
          </cell>
          <cell r="C354" t="str">
            <v>Bleomycin</v>
          </cell>
          <cell r="D354" t="str">
            <v>Tiêm/truyền</v>
          </cell>
        </row>
        <row r="355">
          <cell r="B355">
            <v>349</v>
          </cell>
          <cell r="C355" t="str">
            <v>Bortezomib</v>
          </cell>
          <cell r="D355" t="str">
            <v>Tiêm/truyền</v>
          </cell>
        </row>
        <row r="356">
          <cell r="B356">
            <v>350</v>
          </cell>
          <cell r="C356" t="str">
            <v xml:space="preserve">Busulfan </v>
          </cell>
          <cell r="D356" t="str">
            <v>Tiêm, uống</v>
          </cell>
        </row>
        <row r="357">
          <cell r="B357">
            <v>351</v>
          </cell>
          <cell r="C357" t="str">
            <v>Capecitabin</v>
          </cell>
          <cell r="D357" t="str">
            <v>Uống</v>
          </cell>
        </row>
        <row r="358">
          <cell r="B358">
            <v>352</v>
          </cell>
          <cell r="C358" t="str">
            <v>Carboplatin</v>
          </cell>
          <cell r="D358" t="str">
            <v>Tiêm/truyền</v>
          </cell>
        </row>
        <row r="359">
          <cell r="B359">
            <v>353</v>
          </cell>
          <cell r="C359" t="str">
            <v xml:space="preserve">Carmustin </v>
          </cell>
          <cell r="D359" t="str">
            <v>Tiêm</v>
          </cell>
          <cell r="E359" t="str">
            <v>Quỹ bảo hiểm y tế thanh  toán 50%.</v>
          </cell>
          <cell r="F359" t="str">
            <v>Quỹ bảo hiểm y tế thanh  toán 50%.</v>
          </cell>
        </row>
        <row r="360">
          <cell r="B360">
            <v>354</v>
          </cell>
          <cell r="C360" t="str">
            <v>Cisplatin</v>
          </cell>
          <cell r="D360" t="str">
            <v>Tiêm/truyền</v>
          </cell>
        </row>
        <row r="361">
          <cell r="B361">
            <v>355</v>
          </cell>
          <cell r="C361" t="str">
            <v>Cyclophosphamid</v>
          </cell>
          <cell r="D361" t="str">
            <v>Tiêm/truyền, uống</v>
          </cell>
        </row>
        <row r="362">
          <cell r="B362">
            <v>356</v>
          </cell>
          <cell r="C362" t="str">
            <v>Cytarabin</v>
          </cell>
          <cell r="D362" t="str">
            <v>Tiêm/truyền</v>
          </cell>
        </row>
        <row r="363">
          <cell r="B363">
            <v>357</v>
          </cell>
          <cell r="C363" t="str">
            <v>Dacarbazin</v>
          </cell>
          <cell r="D363" t="str">
            <v>Tiêm/truyền</v>
          </cell>
        </row>
        <row r="364">
          <cell r="B364">
            <v>358</v>
          </cell>
          <cell r="C364" t="str">
            <v>Dactinomycin</v>
          </cell>
          <cell r="D364" t="str">
            <v>Tiêm</v>
          </cell>
        </row>
        <row r="365">
          <cell r="B365">
            <v>359</v>
          </cell>
          <cell r="C365" t="str">
            <v>Daunorubicin</v>
          </cell>
          <cell r="D365" t="str">
            <v>Tiêm/truyền</v>
          </cell>
        </row>
        <row r="366">
          <cell r="B366">
            <v>360</v>
          </cell>
          <cell r="C366" t="str">
            <v>Decitabin</v>
          </cell>
          <cell r="D366" t="str">
            <v>Tiêm/truyền</v>
          </cell>
          <cell r="E366" t="str">
            <v>Quỹ bảo hiểm y tế thanh toán 50%.</v>
          </cell>
          <cell r="F366" t="str">
            <v>Quỹ bảo hiểm y tế thanh toán 50%.</v>
          </cell>
        </row>
        <row r="367">
          <cell r="B367">
            <v>361</v>
          </cell>
          <cell r="C367" t="str">
            <v>Docetaxel</v>
          </cell>
          <cell r="D367" t="str">
            <v>Tiêm/truyền</v>
          </cell>
        </row>
        <row r="368">
          <cell r="B368">
            <v>362</v>
          </cell>
          <cell r="C368" t="str">
            <v>Doxorubicin</v>
          </cell>
          <cell r="D368" t="str">
            <v>Tiêm/truyền</v>
          </cell>
          <cell r="E368" t="str">
            <v>Quỹ bảo hiểm y tế thanh toán 50% đối với dạng liposome; thanh toán 100% đối với các dạng khác.</v>
          </cell>
          <cell r="F368" t="str">
            <v>Quỹ bảo hiểm y tế thanh toán 50% đối với dạng liposome; thanh toán 100% đối với các dạng khác.</v>
          </cell>
        </row>
        <row r="369">
          <cell r="B369">
            <v>363</v>
          </cell>
          <cell r="C369" t="str">
            <v xml:space="preserve">Epirubicin </v>
          </cell>
          <cell r="D369" t="str">
            <v>Tiêm/truyền</v>
          </cell>
        </row>
        <row r="370">
          <cell r="B370">
            <v>364</v>
          </cell>
          <cell r="C370" t="str">
            <v>Etoposid</v>
          </cell>
          <cell r="D370" t="str">
            <v>Tiêm/truyền</v>
          </cell>
        </row>
        <row r="371">
          <cell r="B371">
            <v>365</v>
          </cell>
          <cell r="C371" t="str">
            <v>Everolimus</v>
          </cell>
          <cell r="D371" t="str">
            <v>Uống</v>
          </cell>
          <cell r="E371" t="str">
            <v>Quỹ bảo hiểm y tế thanh toán 50% đối với điều trị ung thư; thanh toán 100% đối với các trường hợp khác.</v>
          </cell>
          <cell r="F371" t="str">
            <v>Quỹ bảo hiểm y tế thanh toán 50% đối với điều trị ung thư; thanh toán 100% đối với các trường hợp khác.</v>
          </cell>
        </row>
        <row r="372">
          <cell r="B372">
            <v>366</v>
          </cell>
          <cell r="C372" t="str">
            <v>Fludarabin</v>
          </cell>
          <cell r="D372" t="str">
            <v>Tiêm/truyền, uống</v>
          </cell>
        </row>
        <row r="373">
          <cell r="B373">
            <v>367</v>
          </cell>
          <cell r="C373" t="str">
            <v>Fluorouracil (5-FU)</v>
          </cell>
          <cell r="D373" t="str">
            <v>Tiêm/truyền</v>
          </cell>
        </row>
        <row r="374">
          <cell r="B374">
            <v>368</v>
          </cell>
          <cell r="C374" t="str">
            <v>Gemcitabin</v>
          </cell>
          <cell r="D374" t="str">
            <v>Tiêm/truyền</v>
          </cell>
        </row>
        <row r="375">
          <cell r="B375">
            <v>369</v>
          </cell>
          <cell r="C375" t="str">
            <v xml:space="preserve">Hydroxyurea (Hydroxycarbamid) </v>
          </cell>
          <cell r="D375" t="str">
            <v>Uống</v>
          </cell>
        </row>
        <row r="376">
          <cell r="B376">
            <v>370</v>
          </cell>
          <cell r="C376" t="str">
            <v xml:space="preserve">Idarubicin </v>
          </cell>
          <cell r="D376" t="str">
            <v>Tiêm</v>
          </cell>
        </row>
        <row r="377">
          <cell r="B377">
            <v>371</v>
          </cell>
          <cell r="C377" t="str">
            <v>Ifosfamid</v>
          </cell>
          <cell r="D377" t="str">
            <v>Tiêm/truyền</v>
          </cell>
        </row>
        <row r="378">
          <cell r="B378">
            <v>372</v>
          </cell>
          <cell r="C378" t="str">
            <v>Irinotecan</v>
          </cell>
          <cell r="D378" t="str">
            <v>Tiêm/truyền</v>
          </cell>
        </row>
        <row r="379">
          <cell r="B379">
            <v>373</v>
          </cell>
          <cell r="C379" t="str">
            <v>L-Asparaginase</v>
          </cell>
          <cell r="D379" t="str">
            <v>Tiêm/truyền</v>
          </cell>
          <cell r="E379" t="str">
            <v>Quỹ bảo hiểm y tế thanh toán 50% đối với dạng L-asparaginase erwinia; thanh toán 100% đối với các dạng khác.</v>
          </cell>
          <cell r="F379" t="str">
            <v>Quỹ bảo hiểm y tế thanh toán 50% đối với dạng L-asparaginase erwinia; thanh toán 100% đối với các dạng khác.</v>
          </cell>
        </row>
        <row r="380">
          <cell r="B380">
            <v>374</v>
          </cell>
          <cell r="C380" t="str">
            <v>Melphalan</v>
          </cell>
          <cell r="D380" t="str">
            <v>Tiêm/truyền</v>
          </cell>
        </row>
        <row r="381">
          <cell r="B381">
            <v>375</v>
          </cell>
          <cell r="C381" t="str">
            <v>Mercaptopurin</v>
          </cell>
          <cell r="D381" t="str">
            <v>Uống</v>
          </cell>
        </row>
        <row r="382">
          <cell r="B382">
            <v>376</v>
          </cell>
          <cell r="C382" t="str">
            <v>Mesna</v>
          </cell>
          <cell r="D382" t="str">
            <v>Tiêm/truyền</v>
          </cell>
        </row>
        <row r="383">
          <cell r="B383">
            <v>377</v>
          </cell>
          <cell r="C383" t="str">
            <v>Methotrexat</v>
          </cell>
          <cell r="D383" t="str">
            <v>Tiêm/truyền, uống</v>
          </cell>
        </row>
        <row r="384">
          <cell r="B384">
            <v>378</v>
          </cell>
          <cell r="C384" t="str">
            <v xml:space="preserve">Mitomycin </v>
          </cell>
          <cell r="D384" t="str">
            <v>Tiêm</v>
          </cell>
        </row>
        <row r="385">
          <cell r="B385">
            <v>379</v>
          </cell>
          <cell r="C385" t="str">
            <v>Mitoxantron</v>
          </cell>
          <cell r="D385" t="str">
            <v>Tiêm/truyền</v>
          </cell>
        </row>
        <row r="386">
          <cell r="B386">
            <v>380</v>
          </cell>
          <cell r="C386" t="str">
            <v>Oxaliplatin</v>
          </cell>
          <cell r="D386" t="str">
            <v>Tiêm/truyền</v>
          </cell>
        </row>
        <row r="387">
          <cell r="B387">
            <v>381</v>
          </cell>
          <cell r="C387" t="str">
            <v>Paclitaxel</v>
          </cell>
          <cell r="D387" t="str">
            <v>Tiêm/truyền</v>
          </cell>
          <cell r="E387" t="str">
            <v>Quỹ bảo hiểm y tế thanh toán 50% đối với dạng liposome và dạng polymeric micelle; thanh toán 100% đối với các dạng khác.</v>
          </cell>
          <cell r="F387" t="str">
            <v>Quỹ bảo hiểm y tế thanh toán 50% đối với dạng liposome và dạng polymeric micelle; thanh toán 100% đối với các dạng khác.</v>
          </cell>
        </row>
        <row r="388">
          <cell r="B388">
            <v>382</v>
          </cell>
          <cell r="C388" t="str">
            <v>Pemetrexed</v>
          </cell>
          <cell r="D388" t="str">
            <v>Tiêm/truyền</v>
          </cell>
          <cell r="E388" t="str">
            <v>Quỹ bảo hiểm y tế thanh toán ung thư phổi không tế bào nhỏ, ung thư trung biểu mô màng phổi ác tính; thanh toán 50%.</v>
          </cell>
          <cell r="F388" t="str">
            <v>Quỹ bảo hiểm y tế thanh toán ung thư phổi không tế bào nhỏ, ung thư trung biểu mô màng phổi ác tính; thanh toán 50%.</v>
          </cell>
        </row>
        <row r="389">
          <cell r="B389">
            <v>383</v>
          </cell>
          <cell r="C389" t="str">
            <v xml:space="preserve">Procarbazin </v>
          </cell>
          <cell r="D389" t="str">
            <v>Uống</v>
          </cell>
        </row>
        <row r="390">
          <cell r="B390">
            <v>384</v>
          </cell>
          <cell r="C390" t="str">
            <v>Tegafur-uracil (UFT hoặc UFUR)</v>
          </cell>
          <cell r="D390" t="str">
            <v>Uống</v>
          </cell>
        </row>
        <row r="391">
          <cell r="B391">
            <v>385</v>
          </cell>
          <cell r="C391" t="str">
            <v>Tegafur + gimeracil +  
oteracil kali</v>
          </cell>
          <cell r="D391" t="str">
            <v>Uống</v>
          </cell>
          <cell r="E391" t="str">
            <v>Quỹ bảo hiểm y tế thanh  toán điều trị ung thư dạ dày  di căn; thanh toán 70%.</v>
          </cell>
          <cell r="F391" t="str">
            <v>Quỹ bảo hiểm y tế thanh  toán điều trị ung thư dạ dày  di căn; thanh toán 70%.</v>
          </cell>
        </row>
        <row r="392">
          <cell r="B392">
            <v>386</v>
          </cell>
          <cell r="C392" t="str">
            <v>Temozolomid</v>
          </cell>
          <cell r="D392" t="str">
            <v>Uống</v>
          </cell>
        </row>
        <row r="393">
          <cell r="B393">
            <v>387</v>
          </cell>
          <cell r="C393" t="str">
            <v>Tretinoin (All-trans retinoic acid)</v>
          </cell>
          <cell r="D393" t="str">
            <v>Uống</v>
          </cell>
        </row>
        <row r="394">
          <cell r="B394">
            <v>388</v>
          </cell>
          <cell r="C394" t="str">
            <v xml:space="preserve">Vinblastin sulfat </v>
          </cell>
          <cell r="D394" t="str">
            <v>Tiêm</v>
          </cell>
        </row>
        <row r="395">
          <cell r="B395">
            <v>389</v>
          </cell>
          <cell r="C395" t="str">
            <v>Vincristin sulfat</v>
          </cell>
          <cell r="D395" t="str">
            <v>Tiêm/truyền</v>
          </cell>
        </row>
        <row r="396">
          <cell r="B396">
            <v>390</v>
          </cell>
          <cell r="C396" t="str">
            <v>Vinorelbin</v>
          </cell>
          <cell r="D396" t="str">
            <v>Tiêm/truyền, uống</v>
          </cell>
        </row>
        <row r="397">
          <cell r="B397">
            <v>391</v>
          </cell>
          <cell r="C397" t="str">
            <v>Afatinib dimaleate</v>
          </cell>
          <cell r="D397" t="str">
            <v>Uống</v>
          </cell>
          <cell r="E397" t="str">
            <v>Quỹ bảo hiểm y tế thanh toán 50%.</v>
          </cell>
          <cell r="F397" t="str">
            <v>Quỹ bảo hiểm y tế thanh toán 50%.</v>
          </cell>
        </row>
        <row r="398">
          <cell r="B398">
            <v>392</v>
          </cell>
          <cell r="C398" t="str">
            <v>Bevacizumab</v>
          </cell>
          <cell r="D398" t="str">
            <v>Tiêm/truyền</v>
          </cell>
          <cell r="E398" t="str">
            <v>Quỹ bảo hiểm y tế thanh toán tại bệnh viện hạng đặc biệt, hạng I và bệnh viện chuyên khoa ung bướu hạng II; thanh toán 50%</v>
          </cell>
          <cell r="F398" t="str">
            <v>Quỹ bảo hiểm y tế thanh toán tại bệnh viện hạng đặc biệt, hạng I và bệnh viện chuyên khoa ung bướu hạng II; thanh toán 50%</v>
          </cell>
        </row>
        <row r="399">
          <cell r="B399">
            <v>393</v>
          </cell>
          <cell r="C399" t="str">
            <v>Cetuximab</v>
          </cell>
          <cell r="D399" t="str">
            <v>Tiêm/truyền</v>
          </cell>
          <cell r="E399" t="str">
            <v>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v>
          </cell>
          <cell r="F399" t="str">
            <v>Quỹ bảo hiểm y tế thanh toán điều trị ung thư đại trực tràng di căn thuộc type RAS tự nhiên; ung thư tế bào vảy vùng đầu, cổ. Sử dụng tại Bệnh viện hạng đặc biệt, hạng I và bệnh viện chuyên khoa ung bướu hạng II. Thanh toán 50%.</v>
          </cell>
        </row>
        <row r="400">
          <cell r="B400">
            <v>394</v>
          </cell>
          <cell r="C400" t="str">
            <v>Erlotinib</v>
          </cell>
          <cell r="D400" t="str">
            <v>Uống</v>
          </cell>
          <cell r="E400" t="str">
            <v>Quỹ bảo hiểm y tế thanh toán điều trị ung thư phổi thể không phải tế bào nhỏ (non-small cell lung cancer) có EGFR dương tính (epidermall growth factor receptor); thanh toán 50%.</v>
          </cell>
          <cell r="F400" t="str">
            <v>Quỹ bảo hiểm y tế thanh toán điều trị ung thư phổi thể không phải tế bào nhỏ (non-small cell lung cancer) có EGFR dương tính (epidermall growth factor receptor); thanh toán 50%.</v>
          </cell>
        </row>
        <row r="401">
          <cell r="B401">
            <v>395</v>
          </cell>
          <cell r="C401" t="str">
            <v>Gefitinib</v>
          </cell>
          <cell r="D401" t="str">
            <v>Uống</v>
          </cell>
          <cell r="E401" t="str">
            <v>Quỹ bảo hiểm y tế thanh toán điều trị ung thư phổi thể không phải tế bào nhỏ (non-small cell lung cancer) có EGFR dương tính (epidermall growth factor receptor); thanh toán 50%.</v>
          </cell>
          <cell r="F401" t="str">
            <v>Quỹ bảo hiểm y tế thanh toán điều trị ung thư phổi thể không phải tế bào nhỏ (non-small cell lung cancer) có EGFR dương tính (epidermall growth factor receptor); thanh toán 50%.</v>
          </cell>
        </row>
        <row r="402">
          <cell r="B402">
            <v>396</v>
          </cell>
          <cell r="C402" t="str">
            <v>Imatinib</v>
          </cell>
          <cell r="D402" t="str">
            <v>Uống</v>
          </cell>
          <cell r="E402" t="str">
            <v>Quỹ bảo hiểm y tế thanh toán điều trị bệnh bạch cầu tủy mạn (CML); u mô đệm dạ dày ruột (GIST). Thanh toán 80%.</v>
          </cell>
          <cell r="F402" t="str">
            <v>Quỹ bảo hiểm y tế thanh toán điều trị bệnh bạch cầu tủy mạn (CML); u mô đệm dạ dày ruột (GIST). Thanh toán 80%.</v>
          </cell>
        </row>
        <row r="403">
          <cell r="B403">
            <v>397</v>
          </cell>
          <cell r="C403" t="str">
            <v xml:space="preserve">Nilotinib </v>
          </cell>
          <cell r="D403" t="str">
            <v>Uống</v>
          </cell>
          <cell r="E403" t="str">
            <v>Quỹ bảo hiểm y tế thanh  toán khi điều trị bệnh bạch  cầu tủy mạn (CML) không  dung nạp hoặc kháng lại với  thuốc Imatinib; thanh toán  80%.</v>
          </cell>
          <cell r="F403" t="str">
            <v>Quỹ bảo hiểm y tế thanh  toán khi điều trị bệnh bạch  cầu tủy mạn (CML) không  dung nạp hoặc kháng lại với  thuốc Imatinib; thanh toán  80%.</v>
          </cell>
        </row>
        <row r="404">
          <cell r="B404">
            <v>398</v>
          </cell>
          <cell r="C404" t="str">
            <v>Nimotuzumab</v>
          </cell>
          <cell r="D404" t="str">
            <v>Tiêm/truyền</v>
          </cell>
          <cell r="E404" t="str">
            <v>Quỹ bảo hiểm y tế thanh toán 50%.</v>
          </cell>
          <cell r="F404" t="str">
            <v>Quỹ bảo hiểm y tế thanh toán 50%.</v>
          </cell>
        </row>
        <row r="405">
          <cell r="B405">
            <v>399</v>
          </cell>
          <cell r="C405" t="str">
            <v>Pazopanib</v>
          </cell>
          <cell r="D405" t="str">
            <v>Uống</v>
          </cell>
          <cell r="E405" t="str">
            <v>Quỹ bảo hiểm y tế thanh toán 50%.</v>
          </cell>
          <cell r="F405" t="str">
            <v>Quỹ bảo hiểm y tế thanh toán 50%.</v>
          </cell>
        </row>
        <row r="406">
          <cell r="B406">
            <v>400</v>
          </cell>
          <cell r="C406" t="str">
            <v>Rituximab</v>
          </cell>
          <cell r="D406" t="str">
            <v>Tiêm/truyền</v>
          </cell>
          <cell r="E406" t="str">
            <v>Quỹ bảo hiểm y tế thanh toán điều trị u lympho không phải Hodgkin (non-Hodgkin lymphoma) tế bào B có CD20 dương tính.</v>
          </cell>
          <cell r="F406" t="str">
            <v>Quỹ bảo hiểm y tế thanh toán điều trị u lympho không phải Hodgkin (non-Hodgkin lymphoma) tế bào B có CD20 dương tính.</v>
          </cell>
        </row>
        <row r="407">
          <cell r="B407">
            <v>401</v>
          </cell>
          <cell r="C407" t="str">
            <v>Sorafenib</v>
          </cell>
          <cell r="D407" t="str">
            <v>Uống</v>
          </cell>
          <cell r="E407"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cell r="F407" t="str">
            <v>Quỹ bảo hiểm y tế thanh toán 50% đối với điều trị ung thư tế bào biểu mô gan, ung thư biểu mô tuyến giáp biệt hóa tiến triển tại chỗ hoặc di căn đã thất bại điều trị với iod phóng xạ; thanh toán 30% đối với điều trị ung thư tế bào biểu mô thận tiến triển.</v>
          </cell>
        </row>
        <row r="408">
          <cell r="B408">
            <v>402</v>
          </cell>
          <cell r="C408" t="str">
            <v>Trastuzumab</v>
          </cell>
          <cell r="D408" t="str">
            <v>Tiêm/truyền</v>
          </cell>
          <cell r="E408"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cell r="F408" t="str">
            <v>Quỹ bảo hiểm y tế thanh toán tại bệnh viện hạng đặc biệt, hạng I và bệnh viện chuyên khoa ung bướu hạng II. Thanh toán 60% đối với ung thư vú có HER2 dương tính; thanh toán 50% đối với ung thư dạ dày tiến xa hoặc di căn có HER2 dương tính.</v>
          </cell>
        </row>
        <row r="409">
          <cell r="B409">
            <v>403</v>
          </cell>
          <cell r="C409" t="str">
            <v xml:space="preserve">Abiraterone acetate </v>
          </cell>
          <cell r="D409" t="str">
            <v>Uống</v>
          </cell>
          <cell r="E409" t="str">
            <v>Quỹ bảo hiểm y tế thanh toán điều trị ung thư tiền liệt tuyến sau khi thất bại với điều trị nội tiết, hoặc sau khi thất bại với điều trị hóa trị; thanh toán 30%.</v>
          </cell>
          <cell r="F409" t="str">
            <v>Quỹ bảo hiểm y tế thanh toán điều trị ung thư tiền liệt tuyến sau khi thất bại với điều trị nội tiết, hoặc sau khi thất bại với điều trị hóa trị; thanh toán 30%.</v>
          </cell>
        </row>
        <row r="410">
          <cell r="B410">
            <v>404</v>
          </cell>
          <cell r="C410" t="str">
            <v>Anastrozol</v>
          </cell>
          <cell r="D410" t="str">
            <v>Uống</v>
          </cell>
        </row>
        <row r="411">
          <cell r="B411">
            <v>405</v>
          </cell>
          <cell r="C411" t="str">
            <v>Bicalutamid</v>
          </cell>
          <cell r="D411" t="str">
            <v>Uống</v>
          </cell>
        </row>
        <row r="412">
          <cell r="B412">
            <v>406</v>
          </cell>
          <cell r="C412" t="str">
            <v xml:space="preserve">Degarelix </v>
          </cell>
          <cell r="D412" t="str">
            <v>Tiêm</v>
          </cell>
        </row>
        <row r="413">
          <cell r="B413">
            <v>407</v>
          </cell>
          <cell r="C413" t="str">
            <v>Exemestan</v>
          </cell>
          <cell r="D413" t="str">
            <v>Uống</v>
          </cell>
        </row>
        <row r="414">
          <cell r="B414">
            <v>408</v>
          </cell>
          <cell r="C414" t="str">
            <v xml:space="preserve">Flutamid </v>
          </cell>
          <cell r="D414" t="str">
            <v>Uống</v>
          </cell>
        </row>
        <row r="415">
          <cell r="B415">
            <v>409</v>
          </cell>
          <cell r="C415" t="str">
            <v>Fulvestrant</v>
          </cell>
          <cell r="D415" t="str">
            <v>Tiêm/truyền</v>
          </cell>
          <cell r="E415" t="str">
            <v>Quỹ bảo hiểm y tế thanh toán 50%.</v>
          </cell>
          <cell r="F415" t="str">
            <v>Quỹ bảo hiểm y tế thanh toán 50%.</v>
          </cell>
        </row>
        <row r="416">
          <cell r="B416">
            <v>410</v>
          </cell>
          <cell r="C416" t="str">
            <v>Goserelin acetat</v>
          </cell>
          <cell r="D416" t="str">
            <v>Tiêm/truyền</v>
          </cell>
        </row>
        <row r="417">
          <cell r="B417">
            <v>411</v>
          </cell>
          <cell r="C417" t="str">
            <v>Letrozol</v>
          </cell>
          <cell r="D417" t="str">
            <v>Uống</v>
          </cell>
        </row>
        <row r="418">
          <cell r="B418">
            <v>412</v>
          </cell>
          <cell r="C418" t="str">
            <v>Leuprorelin acetat</v>
          </cell>
          <cell r="D418" t="str">
            <v>Tiêm/truyền</v>
          </cell>
        </row>
        <row r="419">
          <cell r="B419">
            <v>413</v>
          </cell>
          <cell r="C419" t="str">
            <v>Tamoxifen</v>
          </cell>
          <cell r="D419" t="str">
            <v>Uống</v>
          </cell>
        </row>
        <row r="420">
          <cell r="B420">
            <v>414</v>
          </cell>
          <cell r="C420" t="str">
            <v>Triptorelin</v>
          </cell>
          <cell r="D420" t="str">
            <v>Tiêm/truyền</v>
          </cell>
        </row>
        <row r="421">
          <cell r="B421">
            <v>415</v>
          </cell>
          <cell r="C421" t="str">
            <v>Anti thymocyte globulin</v>
          </cell>
          <cell r="D421" t="str">
            <v>Tiêm/truyền</v>
          </cell>
        </row>
        <row r="422">
          <cell r="B422">
            <v>416</v>
          </cell>
          <cell r="C422" t="str">
            <v xml:space="preserve">Azathioprin </v>
          </cell>
          <cell r="D422" t="str">
            <v>Uống</v>
          </cell>
        </row>
        <row r="423">
          <cell r="B423">
            <v>417</v>
          </cell>
          <cell r="C423" t="str">
            <v>Các kháng thể gắn với  
interferon ở người</v>
          </cell>
          <cell r="D423" t="str">
            <v>Uống</v>
          </cell>
          <cell r="E423" t="str">
            <v>Quỹ bảo hiểm y tế thanh  toán cho trẻ em dưới 6 tuổi  nhiễm trùng đường hô hấp  trên cấp tính điều trị nội trú.</v>
          </cell>
          <cell r="F423" t="str">
            <v>Quỹ bảo hiểm y tế thanh  toán cho trẻ em dưới 6 tuổi  nhiễm trùng đường hô hấp  trên cấp tính điều trị nội trú.</v>
          </cell>
        </row>
        <row r="424">
          <cell r="B424">
            <v>418</v>
          </cell>
          <cell r="C424" t="str">
            <v>Ciclosporin</v>
          </cell>
          <cell r="D424" t="str">
            <v>Uống</v>
          </cell>
        </row>
        <row r="425">
          <cell r="B425">
            <v>419</v>
          </cell>
          <cell r="C425" t="str">
            <v>Basiliximab</v>
          </cell>
          <cell r="D425" t="str">
            <v>Tiêm/truyền</v>
          </cell>
          <cell r="E425" t="str">
            <v>Quỹ bảo hiểm y tế thanh toán 50%.</v>
          </cell>
          <cell r="F425" t="str">
            <v>Quỹ bảo hiểm y tế thanh toán 50%.</v>
          </cell>
        </row>
        <row r="426">
          <cell r="B426">
            <v>420</v>
          </cell>
          <cell r="C426" t="str">
            <v>Glycyl funtumin  
(hydroclorid)</v>
          </cell>
          <cell r="D426" t="str">
            <v>Tiêm</v>
          </cell>
          <cell r="E426" t="str">
            <v>Quỹ bảo hiểm y tế thanh  toán cho chỉ định bổ trợ  trong điều trị ung thư.</v>
          </cell>
          <cell r="F426" t="str">
            <v>Quỹ bảo hiểm y tế thanh  toán cho chỉ định bổ trợ  trong điều trị ung thư.</v>
          </cell>
        </row>
        <row r="427">
          <cell r="B427">
            <v>421</v>
          </cell>
          <cell r="C427" t="str">
            <v xml:space="preserve">Lenalidomid </v>
          </cell>
          <cell r="D427" t="str">
            <v>Uống</v>
          </cell>
          <cell r="E427" t="str">
            <v>Quỹ bảo hiểm y tế thanh  toán 50%.</v>
          </cell>
          <cell r="F427" t="str">
            <v>Quỹ bảo hiểm y tế thanh  toán 50%.</v>
          </cell>
        </row>
        <row r="428">
          <cell r="B428">
            <v>422</v>
          </cell>
          <cell r="C428" t="str">
            <v>Mycophenolat</v>
          </cell>
          <cell r="D428" t="str">
            <v>Uống</v>
          </cell>
        </row>
        <row r="429">
          <cell r="B429">
            <v>423</v>
          </cell>
          <cell r="C429" t="str">
            <v>Tacrolimus</v>
          </cell>
          <cell r="D429" t="str">
            <v>Uống</v>
          </cell>
          <cell r="F429" t="str">
            <v>Quỹ bảo hiểm y tế thanh toán theo chỉ định của một trong các trường hợp sau:
'- Tờ hướng dẫn sử dụng thuốc kèm theo hồ sơ đăng ký thuốc đã được cấp phép;
'- Hướng dẫn chẩn đoán điều trị huyết học, ghép tạng của Bộ Y tế;
'- Đối với người bệnh: ghép tim, ghép phổi, ghép tụy, ghép chi thể, ghép ruột; viêm thận Lupus ở người lớn hoặc trẻ em không đáp ứng đầy đủ hoặc kháng với corticoids; hội chứng thận hư ở người lớn hoặc trẻ em không đáp ứng đầy đủ hoặc kháng với corticoids hoặc không dung nạp corticoids.</v>
          </cell>
        </row>
        <row r="430">
          <cell r="B430">
            <v>424</v>
          </cell>
          <cell r="C430" t="str">
            <v>Thalidomid</v>
          </cell>
          <cell r="D430" t="str">
            <v>Uống</v>
          </cell>
        </row>
        <row r="431">
          <cell r="B431">
            <v>425</v>
          </cell>
          <cell r="C431" t="str">
            <v xml:space="preserve">Clodronat disodium </v>
          </cell>
          <cell r="D431" t="str">
            <v>Tiêm, uống</v>
          </cell>
        </row>
        <row r="432">
          <cell r="B432">
            <v>426</v>
          </cell>
          <cell r="C432" t="str">
            <v>Pamidronat</v>
          </cell>
          <cell r="D432" t="str">
            <v>Tiêm/truyền</v>
          </cell>
        </row>
        <row r="433">
          <cell r="B433">
            <v>427</v>
          </cell>
          <cell r="C433" t="str">
            <v>Alfuzosin</v>
          </cell>
          <cell r="D433" t="str">
            <v>Uống</v>
          </cell>
        </row>
        <row r="434">
          <cell r="B434">
            <v>428</v>
          </cell>
          <cell r="C434" t="str">
            <v>Dutasterid</v>
          </cell>
          <cell r="D434" t="str">
            <v>Uống</v>
          </cell>
        </row>
        <row r="435">
          <cell r="B435">
            <v>429</v>
          </cell>
          <cell r="C435" t="str">
            <v xml:space="preserve">Flavoxat </v>
          </cell>
          <cell r="D435" t="str">
            <v>Uống</v>
          </cell>
        </row>
        <row r="436">
          <cell r="B436">
            <v>430</v>
          </cell>
          <cell r="C436" t="str">
            <v>Lipidosterol serenoarepense (Lipid-sterol của Serenoa repens)</v>
          </cell>
          <cell r="D436" t="str">
            <v>Uống</v>
          </cell>
        </row>
        <row r="437">
          <cell r="B437">
            <v>431</v>
          </cell>
          <cell r="C437" t="str">
            <v>Pinene + camphene + cineol  + fenchone + borneol +  anethol</v>
          </cell>
          <cell r="D437" t="str">
            <v>Uống</v>
          </cell>
          <cell r="E437" t="str">
            <v>Quỹ bảo hiểm y tế thanh  toán điều trị sau tán sỏi;  hoặc điều trị sỏi niệu quản &lt;7mm.</v>
          </cell>
          <cell r="F437" t="str">
            <v>Quỹ bảo hiểm y tế thanh  toán điều trị sau tán sỏi;  hoặc điều trị sỏi niệu quản &lt;7mm.</v>
          </cell>
        </row>
        <row r="438">
          <cell r="B438">
            <v>432</v>
          </cell>
          <cell r="C438" t="str">
            <v>Solifenacin succinate</v>
          </cell>
          <cell r="D438" t="str">
            <v>Uống</v>
          </cell>
          <cell r="E438" t="str">
            <v>Quỹ bảo hiểm y tế thanh toán 70%.</v>
          </cell>
          <cell r="F438" t="str">
            <v>Quỹ bảo hiểm y tế thanh toán 70%.</v>
          </cell>
        </row>
        <row r="439">
          <cell r="B439">
            <v>433</v>
          </cell>
          <cell r="C439" t="str">
            <v>Tamsulosin hydroclorid</v>
          </cell>
          <cell r="D439" t="str">
            <v>Uống</v>
          </cell>
        </row>
        <row r="440">
          <cell r="B440">
            <v>434</v>
          </cell>
          <cell r="C440" t="str">
            <v>Levodopa + carbidopa</v>
          </cell>
          <cell r="D440" t="str">
            <v>Uống</v>
          </cell>
        </row>
        <row r="441">
          <cell r="B441">
            <v>435</v>
          </cell>
          <cell r="C441" t="str">
            <v>Levodopa + carbidopa monohydrat + entacapone</v>
          </cell>
          <cell r="D441" t="str">
            <v>Uống</v>
          </cell>
        </row>
        <row r="442">
          <cell r="B442">
            <v>436</v>
          </cell>
          <cell r="C442" t="str">
            <v xml:space="preserve">Levodopa + benserazid </v>
          </cell>
          <cell r="D442" t="str">
            <v>Uống</v>
          </cell>
        </row>
        <row r="443">
          <cell r="B443">
            <v>437</v>
          </cell>
          <cell r="C443" t="str">
            <v xml:space="preserve">Piribedil </v>
          </cell>
          <cell r="D443" t="str">
            <v>Uống</v>
          </cell>
        </row>
        <row r="444">
          <cell r="B444">
            <v>438</v>
          </cell>
          <cell r="C444" t="str">
            <v>Pramipexol</v>
          </cell>
          <cell r="D444" t="str">
            <v>Uống</v>
          </cell>
        </row>
        <row r="445">
          <cell r="B445">
            <v>439</v>
          </cell>
          <cell r="C445" t="str">
            <v xml:space="preserve">Tolcapon </v>
          </cell>
          <cell r="D445" t="str">
            <v>Uống</v>
          </cell>
        </row>
        <row r="446">
          <cell r="B446">
            <v>440</v>
          </cell>
          <cell r="C446" t="str">
            <v xml:space="preserve">Rotigotine </v>
          </cell>
          <cell r="D446" t="str">
            <v>Dán ngoài da</v>
          </cell>
          <cell r="E446" t="str">
            <v>Quỹ bảo hiểm y tế thanh  toán 50%.</v>
          </cell>
          <cell r="F446" t="str">
            <v>Quỹ bảo hiểm y tế thanh  toán 50%.</v>
          </cell>
        </row>
        <row r="447">
          <cell r="B447">
            <v>441</v>
          </cell>
          <cell r="C447" t="str">
            <v>Trihexyphenidyl hydroclorid</v>
          </cell>
          <cell r="D447" t="str">
            <v>Uống</v>
          </cell>
        </row>
        <row r="448">
          <cell r="B448">
            <v>442</v>
          </cell>
          <cell r="C448" t="str">
            <v>Acid folic (vitamin B9)</v>
          </cell>
          <cell r="D448" t="str">
            <v>Uống</v>
          </cell>
        </row>
        <row r="449">
          <cell r="B449">
            <v>443</v>
          </cell>
          <cell r="C449" t="str">
            <v xml:space="preserve">Sắt fumarat </v>
          </cell>
          <cell r="D449" t="str">
            <v>Uống</v>
          </cell>
        </row>
        <row r="450">
          <cell r="B450">
            <v>444</v>
          </cell>
          <cell r="C450" t="str">
            <v>Sắt (III) hydroxyd polymaltose</v>
          </cell>
          <cell r="D450" t="str">
            <v>Uống</v>
          </cell>
        </row>
        <row r="451">
          <cell r="B451">
            <v>445</v>
          </cell>
          <cell r="C451" t="str">
            <v>Sắt protein succinylat</v>
          </cell>
          <cell r="D451" t="str">
            <v>Uống</v>
          </cell>
        </row>
        <row r="452">
          <cell r="B452">
            <v>446</v>
          </cell>
          <cell r="C452" t="str">
            <v>Sắt sucrose (hay dextran)</v>
          </cell>
          <cell r="D452" t="str">
            <v>Tiêm/truyền</v>
          </cell>
        </row>
        <row r="453">
          <cell r="B453">
            <v>447</v>
          </cell>
          <cell r="C453" t="str">
            <v xml:space="preserve">Sắt sulfat </v>
          </cell>
          <cell r="D453" t="str">
            <v>Uống</v>
          </cell>
        </row>
        <row r="454">
          <cell r="B454">
            <v>448</v>
          </cell>
          <cell r="C454" t="str">
            <v xml:space="preserve">Sắt ascorbat + acid folic </v>
          </cell>
          <cell r="D454" t="str">
            <v>Uống</v>
          </cell>
        </row>
        <row r="455">
          <cell r="B455">
            <v>449</v>
          </cell>
          <cell r="C455" t="str">
            <v>Sắt fumarat + acid folic</v>
          </cell>
          <cell r="D455" t="str">
            <v>Uống</v>
          </cell>
        </row>
        <row r="456">
          <cell r="B456">
            <v>450</v>
          </cell>
          <cell r="C456" t="str">
            <v>Sắt (III) hydroxyd polymaltose + acid folic</v>
          </cell>
          <cell r="D456" t="str">
            <v>Uống</v>
          </cell>
        </row>
        <row r="457">
          <cell r="B457">
            <v>451</v>
          </cell>
          <cell r="C457" t="str">
            <v>Sắt sulfat + acid folic</v>
          </cell>
          <cell r="D457" t="str">
            <v>Uống</v>
          </cell>
        </row>
        <row r="458">
          <cell r="B458">
            <v>452</v>
          </cell>
          <cell r="C458" t="str">
            <v>Carbazochrom</v>
          </cell>
          <cell r="D458" t="str">
            <v>Tiêm/truyền</v>
          </cell>
        </row>
        <row r="459">
          <cell r="B459">
            <v>453</v>
          </cell>
          <cell r="C459" t="str">
            <v xml:space="preserve">Cilostazol </v>
          </cell>
          <cell r="D459" t="str">
            <v>Uống</v>
          </cell>
        </row>
        <row r="460">
          <cell r="B460">
            <v>454</v>
          </cell>
          <cell r="C460" t="str">
            <v>Enoxaparin (natri)</v>
          </cell>
          <cell r="D460" t="str">
            <v>Tiêm/truyền</v>
          </cell>
        </row>
        <row r="461">
          <cell r="B461">
            <v>455</v>
          </cell>
          <cell r="C461" t="str">
            <v>Etamsylat</v>
          </cell>
          <cell r="D461" t="str">
            <v>Tiêm/truyền, uống</v>
          </cell>
        </row>
        <row r="462">
          <cell r="B462">
            <v>456</v>
          </cell>
          <cell r="C462" t="str">
            <v>Heparin (natri)</v>
          </cell>
          <cell r="D462" t="str">
            <v>Tiêm/truyền</v>
          </cell>
        </row>
        <row r="463">
          <cell r="B463">
            <v>457</v>
          </cell>
          <cell r="C463" t="str">
            <v xml:space="preserve">Nadroparin </v>
          </cell>
          <cell r="D463" t="str">
            <v>Tiêm</v>
          </cell>
        </row>
        <row r="464">
          <cell r="B464">
            <v>458</v>
          </cell>
          <cell r="C464" t="str">
            <v>Phytomenadion (vitamin K1)</v>
          </cell>
          <cell r="D464" t="str">
            <v>Tiêm/truyền</v>
          </cell>
        </row>
        <row r="465">
          <cell r="B465">
            <v>459</v>
          </cell>
          <cell r="C465" t="str">
            <v>Protamin sulfat</v>
          </cell>
          <cell r="D465" t="str">
            <v>Tiêm</v>
          </cell>
        </row>
        <row r="466">
          <cell r="B466">
            <v>460</v>
          </cell>
          <cell r="C466" t="str">
            <v>Tranexamic acid</v>
          </cell>
          <cell r="D466" t="str">
            <v>Tiêm/truyền, uống</v>
          </cell>
        </row>
        <row r="467">
          <cell r="B467">
            <v>461</v>
          </cell>
          <cell r="C467" t="str">
            <v xml:space="preserve">Triflusal </v>
          </cell>
          <cell r="D467" t="str">
            <v>Uống</v>
          </cell>
        </row>
        <row r="468">
          <cell r="B468">
            <v>462</v>
          </cell>
          <cell r="C468" t="str">
            <v>Warfarin (muối natri)</v>
          </cell>
          <cell r="D468" t="str">
            <v>Uống</v>
          </cell>
        </row>
        <row r="469">
          <cell r="B469">
            <v>463</v>
          </cell>
          <cell r="C469" t="str">
            <v>Albumin</v>
          </cell>
          <cell r="D469" t="str">
            <v>Tiêm/truyền</v>
          </cell>
          <cell r="E469" t="str">
            <v>Quỹ bảo hiểm y tế thanh toán trong trường hợp: Nồng độ albumin máu ≤ 2,5 g/dl  hoặc sốc hoặc hội chứng suy hô hấp tiến triển; thanh toán 70%.</v>
          </cell>
          <cell r="F469" t="str">
            <v>Quỹ bảo hiểm y tế thanh toán trong trường hợp: Nồng độ albumin máu ≤ 2,5 g/dl  hoặc sốc hoặc hội chứng suy hô hấp tiến triển; thanh toán 70%.</v>
          </cell>
        </row>
        <row r="470">
          <cell r="B470">
            <v>464</v>
          </cell>
          <cell r="C470" t="str">
            <v>Albumin + Immunoglobulin A + Immunoglobulin G + Immunoglobulin M</v>
          </cell>
          <cell r="D470" t="str">
            <v>Tiêm/truyền</v>
          </cell>
          <cell r="E470" t="str">
            <v xml:space="preserve">Quỹ bảo hiểm y tế thanh toán trong những trường hợp sốc do nguyên nhân: bỏng, chấn thương, mất nước, nhiễm trùng nặng. </v>
          </cell>
          <cell r="F470" t="str">
            <v xml:space="preserve">Quỹ bảo hiểm y tế thanh toán trong những trường hợp sốc do nguyên nhân: bỏng, chấn thương, mất nước, nhiễm trùng nặng. </v>
          </cell>
        </row>
        <row r="471">
          <cell r="B471">
            <v>465</v>
          </cell>
          <cell r="C471" t="str">
            <v xml:space="preserve">Huyết tương </v>
          </cell>
          <cell r="D471" t="str">
            <v xml:space="preserve">Tiêm truyền </v>
          </cell>
        </row>
        <row r="472">
          <cell r="B472">
            <v>466</v>
          </cell>
          <cell r="C472" t="str">
            <v xml:space="preserve">Khối bạch cầu </v>
          </cell>
          <cell r="D472" t="str">
            <v xml:space="preserve">Tiêm truyền </v>
          </cell>
        </row>
        <row r="473">
          <cell r="B473">
            <v>467</v>
          </cell>
          <cell r="C473" t="str">
            <v xml:space="preserve">Khối hồng cầu </v>
          </cell>
          <cell r="D473" t="str">
            <v xml:space="preserve">Tiêm truyền </v>
          </cell>
        </row>
        <row r="474">
          <cell r="B474">
            <v>468</v>
          </cell>
          <cell r="C474" t="str">
            <v xml:space="preserve">Khối tiểu cầu </v>
          </cell>
          <cell r="D474" t="str">
            <v xml:space="preserve">Tiêm truyền </v>
          </cell>
        </row>
        <row r="475">
          <cell r="B475">
            <v>469</v>
          </cell>
          <cell r="C475" t="str">
            <v xml:space="preserve">Máu toàn phần </v>
          </cell>
          <cell r="D475" t="str">
            <v xml:space="preserve">Tiêm truyền </v>
          </cell>
        </row>
        <row r="476">
          <cell r="B476">
            <v>470</v>
          </cell>
          <cell r="C476" t="str">
            <v>Phức hợp kháng yếu tố ức  chế yếu tố VIII bắc cầu  (Factor Eight Inhibitor  
Bypassing Activity - FEIBA)</v>
          </cell>
          <cell r="D476" t="str">
            <v xml:space="preserve">Tiêm truyền </v>
          </cell>
          <cell r="E476"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cell r="F476" t="str">
            <v xml:space="preserve">Quỹ bảo hiểm y tế thanh  toán trong trường hợp: 
- Điều trị chảy máu trên  người bệnh ưa chảy máu nhóm A có kèm theo yếu tố  ức chế yếu tố VIII; 
- Điều trị chảy máu trên  người bệnh ưa chảy máu  nhóm B có kèm theo yếu tố  ức chế yếu tố IX; 
- Điều trị chảy máu trên  người bệnh khác (không  phải bệnh nhân hemophilia)  mà có yếu tố ức chế yếu tố  VIII mắc phải hoặc yếu tố  ức chế yếu tố IX mắc phải; - Điều trị chảy máu phẫu  thuật trên người bệnh có  kèm theo yếu tố ức chế cần  được phẫu thuật. </v>
          </cell>
        </row>
        <row r="477">
          <cell r="B477">
            <v>471</v>
          </cell>
          <cell r="C477" t="str">
            <v xml:space="preserve">Yếu tố VIIa </v>
          </cell>
          <cell r="D477" t="str">
            <v xml:space="preserve">Tiêm </v>
          </cell>
        </row>
        <row r="478">
          <cell r="B478">
            <v>472</v>
          </cell>
          <cell r="C478" t="str">
            <v>Yếu tố VIII</v>
          </cell>
          <cell r="D478" t="str">
            <v>Tiêm/truyền</v>
          </cell>
        </row>
        <row r="479">
          <cell r="B479">
            <v>473</v>
          </cell>
          <cell r="C479" t="str">
            <v>Yếu tố IX</v>
          </cell>
          <cell r="D479" t="str">
            <v>Tiêm/truyền</v>
          </cell>
        </row>
        <row r="480">
          <cell r="B480">
            <v>474</v>
          </cell>
          <cell r="C480" t="str">
            <v>Yếu tố VIII + yếu tố von  Willebrand</v>
          </cell>
          <cell r="D480" t="str">
            <v xml:space="preserve">Tiêm truyền </v>
          </cell>
        </row>
        <row r="481">
          <cell r="B481">
            <v>475</v>
          </cell>
          <cell r="C481" t="str">
            <v xml:space="preserve">Dextran 40 </v>
          </cell>
          <cell r="D481" t="str">
            <v xml:space="preserve">Tiêm truyền </v>
          </cell>
        </row>
        <row r="482">
          <cell r="B482">
            <v>476</v>
          </cell>
          <cell r="C482" t="str">
            <v>Dextran 60</v>
          </cell>
          <cell r="D482" t="str">
            <v xml:space="preserve">Tiêm truyền </v>
          </cell>
        </row>
        <row r="483">
          <cell r="B483">
            <v>477</v>
          </cell>
          <cell r="C483" t="str">
            <v>Dextran 70</v>
          </cell>
          <cell r="D483" t="str">
            <v xml:space="preserve">Tiêm truyền </v>
          </cell>
        </row>
        <row r="484">
          <cell r="B484">
            <v>478</v>
          </cell>
          <cell r="C484" t="str">
            <v xml:space="preserve">Gelatin </v>
          </cell>
          <cell r="D484" t="str">
            <v xml:space="preserve">Tiêm truyền </v>
          </cell>
        </row>
        <row r="485">
          <cell r="B485">
            <v>479</v>
          </cell>
          <cell r="C485" t="str">
            <v>Gelatin succinyl + natri clorid + natri hydroxyd</v>
          </cell>
          <cell r="D485" t="str">
            <v>Tiêm/truyền</v>
          </cell>
        </row>
        <row r="486">
          <cell r="B486">
            <v>480</v>
          </cell>
          <cell r="C486" t="str">
            <v>Tinh bột este hóa (hydroxyethyl starch)</v>
          </cell>
          <cell r="D486" t="str">
            <v>Tiêm/truyền</v>
          </cell>
          <cell r="E486" t="str">
            <v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v>
          </cell>
          <cell r="F486" t="str">
            <v xml:space="preserve">Quỹ bảo hiểm y tế thanh toán điều trị giảm thể tích tuần hoàn do mất máu cấp khi sử dụng dịch truyền đơn thuần không cải thiện lâm sàng; điều trị sốt xuất huyết Dengue nặng theo Hướng dẫn chẩn đoán và điều trị sốt xuất huyết Dengue của Bộ Y tế </v>
          </cell>
        </row>
        <row r="487">
          <cell r="B487">
            <v>481</v>
          </cell>
          <cell r="C487" t="str">
            <v>Deferasirox</v>
          </cell>
          <cell r="D487" t="str">
            <v>Uống</v>
          </cell>
        </row>
        <row r="488">
          <cell r="B488">
            <v>482</v>
          </cell>
          <cell r="C488" t="str">
            <v>Deferipron</v>
          </cell>
          <cell r="D488" t="str">
            <v>Uống</v>
          </cell>
        </row>
        <row r="489">
          <cell r="B489">
            <v>483</v>
          </cell>
          <cell r="C489" t="str">
            <v>Eltrombopag</v>
          </cell>
          <cell r="D489" t="str">
            <v>Uống</v>
          </cell>
          <cell r="E489" t="str">
            <v>Quỹ bảo hiểm y tế thanh toán khi điều trị xuất huyết giảm tiểu cầu miễn dịch mạn tính ở người lớn kháng trị với cắt lách.</v>
          </cell>
          <cell r="F489" t="str">
            <v>Quỹ bảo hiểm y tế thanh toán khi điều trị xuất huyết giảm tiểu cầu miễn dịch mạn tính ở người lớn kháng trị với cắt lách.</v>
          </cell>
        </row>
        <row r="490">
          <cell r="B490">
            <v>484</v>
          </cell>
          <cell r="C490" t="str">
            <v>Erythropoietin (dạng alfa)</v>
          </cell>
          <cell r="D490" t="str">
            <v>Tiêm/truyền</v>
          </cell>
        </row>
        <row r="491">
          <cell r="B491">
            <v>485</v>
          </cell>
          <cell r="C491" t="str">
            <v>Filgrastim</v>
          </cell>
          <cell r="D491" t="str">
            <v>Tiêm/truyền</v>
          </cell>
        </row>
        <row r="492">
          <cell r="B492">
            <v>486</v>
          </cell>
          <cell r="C492" t="str">
            <v>Methoxy polyethylene glycol-epoetin beta</v>
          </cell>
          <cell r="D492" t="str">
            <v>Tiêm/truyền</v>
          </cell>
        </row>
        <row r="493">
          <cell r="B493">
            <v>487</v>
          </cell>
          <cell r="C493" t="str">
            <v>Pegfilgrastim</v>
          </cell>
          <cell r="D493" t="str">
            <v>Tiêm/truyền</v>
          </cell>
        </row>
        <row r="494">
          <cell r="B494">
            <v>488</v>
          </cell>
          <cell r="C494" t="str">
            <v>Diltiazem</v>
          </cell>
          <cell r="D494" t="str">
            <v>Uống</v>
          </cell>
        </row>
        <row r="495">
          <cell r="B495">
            <v>489</v>
          </cell>
          <cell r="C495" t="str">
            <v>Glyceryl trinitrat (Nitroglycerin)</v>
          </cell>
          <cell r="D495" t="str">
            <v xml:space="preserve">Bơm dưới lưỡi, tiêm </v>
          </cell>
        </row>
        <row r="496">
          <cell r="B496">
            <v>490</v>
          </cell>
          <cell r="C496" t="str">
            <v>Isosorbid (dinitrat hoặc mononitrat)</v>
          </cell>
          <cell r="D496" t="str">
            <v>Uống</v>
          </cell>
        </row>
        <row r="497">
          <cell r="B497">
            <v>491</v>
          </cell>
          <cell r="C497" t="str">
            <v>Nicorandil</v>
          </cell>
          <cell r="D497" t="str">
            <v>Uống</v>
          </cell>
        </row>
        <row r="498">
          <cell r="B498">
            <v>492</v>
          </cell>
          <cell r="C498" t="str">
            <v>Trimetazidin</v>
          </cell>
          <cell r="D498" t="str">
            <v>Uống</v>
          </cell>
          <cell r="E498" t="str">
            <v>Quỹ bảo hiểm y tế thanh toán điều trị triệu chứng ở người bệnh đau thắt ngực ổn định không được kiểm soát đầy đủ hoặc người bệnh không dung nạp với các liệu pháp điều trị khác.</v>
          </cell>
          <cell r="F498" t="str">
            <v>Quỹ bảo hiểm y tế thanh toán điều trị triệu chứng ở người bệnh đau thắt ngực ổn định không được kiểm soát đầy đủ hoặc người bệnh không dung nạp với các liệu pháp điều trị khác.</v>
          </cell>
        </row>
        <row r="499">
          <cell r="B499">
            <v>493</v>
          </cell>
          <cell r="C499" t="str">
            <v>Adenosin triphosphat</v>
          </cell>
          <cell r="D499" t="str">
            <v>Tiêm/truyền</v>
          </cell>
        </row>
        <row r="500">
          <cell r="B500">
            <v>494</v>
          </cell>
          <cell r="C500" t="str">
            <v>Amiodarone hydrochloride</v>
          </cell>
          <cell r="D500" t="str">
            <v>Tiêm/truyền, uống</v>
          </cell>
        </row>
        <row r="501">
          <cell r="B501">
            <v>495</v>
          </cell>
          <cell r="C501" t="str">
            <v xml:space="preserve">Isoprenalin </v>
          </cell>
          <cell r="D501" t="str">
            <v>Tiêm, uống</v>
          </cell>
          <cell r="E501" t="str">
            <v xml:space="preserve">Quỹ bảo hiểm y tế thanh  toán điều trị cấp cứu trụy  tim mạch, block tim, co thắt  phế quản trong gây mê. </v>
          </cell>
          <cell r="F501" t="str">
            <v xml:space="preserve">Quỹ bảo hiểm y tế thanh  toán điều trị cấp cứu trụy  tim mạch, block tim, co thắt  phế quản trong gây mê. </v>
          </cell>
        </row>
        <row r="502">
          <cell r="B502">
            <v>496</v>
          </cell>
          <cell r="C502" t="str">
            <v xml:space="preserve">Propranolol hydroclorid </v>
          </cell>
          <cell r="D502" t="str">
            <v>Tiêm, uống</v>
          </cell>
        </row>
        <row r="503">
          <cell r="B503">
            <v>497</v>
          </cell>
          <cell r="C503" t="str">
            <v xml:space="preserve">Sotalol </v>
          </cell>
          <cell r="D503" t="str">
            <v>Uống</v>
          </cell>
        </row>
        <row r="504">
          <cell r="B504">
            <v>498</v>
          </cell>
          <cell r="C504" t="str">
            <v>Verapamil hydroclorid</v>
          </cell>
          <cell r="D504" t="str">
            <v>Tiêm, uống</v>
          </cell>
        </row>
        <row r="505">
          <cell r="B505">
            <v>499</v>
          </cell>
          <cell r="C505" t="str">
            <v xml:space="preserve">Acebutolol </v>
          </cell>
          <cell r="D505" t="str">
            <v>Uống</v>
          </cell>
        </row>
        <row r="506">
          <cell r="B506">
            <v>500</v>
          </cell>
          <cell r="C506" t="str">
            <v>Amlodipin</v>
          </cell>
          <cell r="D506" t="str">
            <v>Uống</v>
          </cell>
        </row>
        <row r="507">
          <cell r="B507">
            <v>501</v>
          </cell>
          <cell r="C507" t="str">
            <v xml:space="preserve">Amlodipin + atorvastatin </v>
          </cell>
          <cell r="D507" t="str">
            <v>Uống</v>
          </cell>
        </row>
        <row r="508">
          <cell r="B508">
            <v>502</v>
          </cell>
          <cell r="C508" t="str">
            <v>Amlodipin + losartan</v>
          </cell>
          <cell r="D508" t="str">
            <v>Uống</v>
          </cell>
        </row>
        <row r="509">
          <cell r="B509">
            <v>503</v>
          </cell>
          <cell r="C509" t="str">
            <v>Amlodipin + lisinopril</v>
          </cell>
          <cell r="D509" t="str">
            <v>Uống</v>
          </cell>
        </row>
        <row r="510">
          <cell r="B510">
            <v>504</v>
          </cell>
          <cell r="C510" t="str">
            <v xml:space="preserve">Amlodipin + indapamid </v>
          </cell>
          <cell r="D510" t="str">
            <v>Uống</v>
          </cell>
        </row>
        <row r="511">
          <cell r="B511">
            <v>505</v>
          </cell>
          <cell r="C511" t="str">
            <v>Amlodipin + indapamid + perindopril</v>
          </cell>
          <cell r="D511" t="str">
            <v>Uống</v>
          </cell>
        </row>
        <row r="512">
          <cell r="B512">
            <v>506</v>
          </cell>
          <cell r="C512" t="str">
            <v>Amlodipin + telmisartan</v>
          </cell>
          <cell r="D512" t="str">
            <v>Uống</v>
          </cell>
        </row>
        <row r="513">
          <cell r="B513">
            <v>507</v>
          </cell>
          <cell r="C513" t="str">
            <v>Amlodipin + valsartan</v>
          </cell>
          <cell r="D513" t="str">
            <v>Uống</v>
          </cell>
        </row>
        <row r="514">
          <cell r="B514">
            <v>508</v>
          </cell>
          <cell r="C514" t="str">
            <v>Amlodipin + valsartan + hydrochlorothiazid</v>
          </cell>
          <cell r="D514" t="str">
            <v>Uống</v>
          </cell>
        </row>
        <row r="515">
          <cell r="B515">
            <v>509</v>
          </cell>
          <cell r="C515" t="str">
            <v>Atenolol</v>
          </cell>
          <cell r="D515" t="str">
            <v>Uống</v>
          </cell>
        </row>
        <row r="516">
          <cell r="B516">
            <v>510</v>
          </cell>
          <cell r="C516" t="str">
            <v xml:space="preserve">Benazepril hydroclorid </v>
          </cell>
          <cell r="D516" t="str">
            <v>Uống</v>
          </cell>
        </row>
        <row r="517">
          <cell r="B517">
            <v>511</v>
          </cell>
          <cell r="C517" t="str">
            <v>Bisoprolol</v>
          </cell>
          <cell r="D517" t="str">
            <v>Uống</v>
          </cell>
        </row>
        <row r="518">
          <cell r="B518">
            <v>512</v>
          </cell>
          <cell r="C518" t="str">
            <v>Bisoprolol + hydroclorothiazid</v>
          </cell>
          <cell r="D518" t="str">
            <v>Uống</v>
          </cell>
        </row>
        <row r="519">
          <cell r="B519">
            <v>513</v>
          </cell>
          <cell r="C519" t="str">
            <v>Candesartan</v>
          </cell>
          <cell r="D519" t="str">
            <v>Uống</v>
          </cell>
        </row>
        <row r="520">
          <cell r="B520">
            <v>514</v>
          </cell>
          <cell r="C520" t="str">
            <v>Candesartan + hydrochlorothiazid</v>
          </cell>
          <cell r="D520" t="str">
            <v>Uống</v>
          </cell>
        </row>
        <row r="521">
          <cell r="B521">
            <v>515</v>
          </cell>
          <cell r="C521" t="str">
            <v>Captopril</v>
          </cell>
          <cell r="D521" t="str">
            <v>Uống</v>
          </cell>
        </row>
        <row r="522">
          <cell r="B522">
            <v>516</v>
          </cell>
          <cell r="C522" t="str">
            <v>Captopril +  
hydroclorothiazid</v>
          </cell>
          <cell r="D522" t="str">
            <v>Uống</v>
          </cell>
        </row>
        <row r="523">
          <cell r="B523">
            <v>517</v>
          </cell>
          <cell r="C523" t="str">
            <v>Carvedilol</v>
          </cell>
          <cell r="D523" t="str">
            <v>Uống</v>
          </cell>
        </row>
        <row r="524">
          <cell r="B524">
            <v>518</v>
          </cell>
          <cell r="C524" t="str">
            <v>Cilnidipin</v>
          </cell>
          <cell r="D524" t="str">
            <v>Uống</v>
          </cell>
        </row>
        <row r="525">
          <cell r="B525">
            <v>519</v>
          </cell>
          <cell r="C525" t="str">
            <v xml:space="preserve">Clonidin </v>
          </cell>
          <cell r="D525" t="str">
            <v>Tiêm, uống</v>
          </cell>
        </row>
        <row r="526">
          <cell r="B526">
            <v>520</v>
          </cell>
          <cell r="C526" t="str">
            <v xml:space="preserve">Doxazosin </v>
          </cell>
          <cell r="D526" t="str">
            <v>Uống</v>
          </cell>
        </row>
        <row r="527">
          <cell r="B527">
            <v>521</v>
          </cell>
          <cell r="C527" t="str">
            <v>Enalapril</v>
          </cell>
          <cell r="D527" t="str">
            <v>Uống</v>
          </cell>
        </row>
        <row r="528">
          <cell r="B528">
            <v>522</v>
          </cell>
          <cell r="C528" t="str">
            <v>Enalapril + hydrochlorothiazid</v>
          </cell>
          <cell r="D528" t="str">
            <v>Uống</v>
          </cell>
        </row>
        <row r="529">
          <cell r="B529">
            <v>523</v>
          </cell>
          <cell r="C529" t="str">
            <v xml:space="preserve">Felodipin </v>
          </cell>
          <cell r="D529" t="str">
            <v>Uống</v>
          </cell>
        </row>
        <row r="530">
          <cell r="B530">
            <v>524</v>
          </cell>
          <cell r="C530" t="str">
            <v>Felodipin + metoprolol  tartrat</v>
          </cell>
          <cell r="D530" t="str">
            <v>Uống</v>
          </cell>
        </row>
        <row r="531">
          <cell r="B531">
            <v>525</v>
          </cell>
          <cell r="C531" t="str">
            <v xml:space="preserve">Hydralazin </v>
          </cell>
          <cell r="D531" t="str">
            <v xml:space="preserve">Tiêm truyền </v>
          </cell>
        </row>
        <row r="532">
          <cell r="B532">
            <v>526</v>
          </cell>
          <cell r="C532" t="str">
            <v>Imidapril</v>
          </cell>
          <cell r="D532" t="str">
            <v>Uống</v>
          </cell>
        </row>
        <row r="533">
          <cell r="B533">
            <v>527</v>
          </cell>
          <cell r="C533" t="str">
            <v xml:space="preserve">Indapamid </v>
          </cell>
          <cell r="D533" t="str">
            <v>Uống</v>
          </cell>
        </row>
        <row r="534">
          <cell r="B534">
            <v>528</v>
          </cell>
          <cell r="C534" t="str">
            <v>Irbesartan</v>
          </cell>
          <cell r="D534" t="str">
            <v>Uống</v>
          </cell>
        </row>
        <row r="535">
          <cell r="B535">
            <v>529</v>
          </cell>
          <cell r="C535" t="str">
            <v>Irbesartan +  
hydroclorothiazid</v>
          </cell>
          <cell r="D535" t="str">
            <v>Uống</v>
          </cell>
        </row>
        <row r="536">
          <cell r="B536">
            <v>530</v>
          </cell>
          <cell r="C536" t="str">
            <v xml:space="preserve">Lacidipin </v>
          </cell>
          <cell r="D536" t="str">
            <v>Uống</v>
          </cell>
        </row>
        <row r="537">
          <cell r="B537">
            <v>531</v>
          </cell>
          <cell r="C537" t="str">
            <v xml:space="preserve">Lercanidipin hydroclorid </v>
          </cell>
          <cell r="D537" t="str">
            <v>Uống</v>
          </cell>
        </row>
        <row r="538">
          <cell r="B538">
            <v>532</v>
          </cell>
          <cell r="C538" t="str">
            <v>Lisinopril</v>
          </cell>
          <cell r="D538" t="str">
            <v>Uống</v>
          </cell>
        </row>
        <row r="539">
          <cell r="B539">
            <v>533</v>
          </cell>
          <cell r="C539" t="str">
            <v>Lisinopril + hydroclorothiazid</v>
          </cell>
          <cell r="D539" t="str">
            <v>Uống</v>
          </cell>
        </row>
        <row r="540">
          <cell r="B540">
            <v>534</v>
          </cell>
          <cell r="C540" t="str">
            <v>Losartan</v>
          </cell>
          <cell r="D540" t="str">
            <v>Uống</v>
          </cell>
        </row>
        <row r="541">
          <cell r="B541">
            <v>535</v>
          </cell>
          <cell r="C541" t="str">
            <v>Losartan + hydroclorothiazid</v>
          </cell>
          <cell r="D541" t="str">
            <v>Uống</v>
          </cell>
        </row>
        <row r="542">
          <cell r="B542">
            <v>536</v>
          </cell>
          <cell r="C542" t="str">
            <v>Methyldopa</v>
          </cell>
          <cell r="D542" t="str">
            <v>Uống</v>
          </cell>
        </row>
        <row r="543">
          <cell r="B543">
            <v>537</v>
          </cell>
          <cell r="C543" t="str">
            <v>Metoprolol</v>
          </cell>
          <cell r="D543" t="str">
            <v>Uống</v>
          </cell>
        </row>
        <row r="544">
          <cell r="B544">
            <v>538</v>
          </cell>
          <cell r="C544" t="str">
            <v>Nebivolol</v>
          </cell>
          <cell r="D544" t="str">
            <v>Uống</v>
          </cell>
        </row>
        <row r="545">
          <cell r="B545">
            <v>539</v>
          </cell>
          <cell r="C545" t="str">
            <v>Nicardipin</v>
          </cell>
          <cell r="D545" t="str">
            <v>Tiêm/truyền</v>
          </cell>
        </row>
        <row r="546">
          <cell r="B546">
            <v>540</v>
          </cell>
          <cell r="C546" t="str">
            <v>Nifedipin</v>
          </cell>
          <cell r="D546" t="str">
            <v>Uống</v>
          </cell>
        </row>
        <row r="547">
          <cell r="B547">
            <v>541</v>
          </cell>
          <cell r="C547" t="str">
            <v>Perindopril</v>
          </cell>
          <cell r="D547" t="str">
            <v>Uống</v>
          </cell>
        </row>
        <row r="548">
          <cell r="B548">
            <v>542</v>
          </cell>
          <cell r="C548" t="str">
            <v>Perindopril + amlodipin</v>
          </cell>
          <cell r="D548" t="str">
            <v>Uống</v>
          </cell>
        </row>
        <row r="549">
          <cell r="B549">
            <v>543</v>
          </cell>
          <cell r="C549" t="str">
            <v>Perindopril + indapamid</v>
          </cell>
          <cell r="D549" t="str">
            <v>Uống</v>
          </cell>
        </row>
        <row r="550">
          <cell r="B550">
            <v>544</v>
          </cell>
          <cell r="C550" t="str">
            <v>Quinapril</v>
          </cell>
          <cell r="D550" t="str">
            <v>Uống</v>
          </cell>
        </row>
        <row r="551">
          <cell r="B551">
            <v>545</v>
          </cell>
          <cell r="C551" t="str">
            <v>Ramipril</v>
          </cell>
          <cell r="D551" t="str">
            <v>Uống</v>
          </cell>
        </row>
        <row r="552">
          <cell r="B552">
            <v>546</v>
          </cell>
          <cell r="C552" t="str">
            <v xml:space="preserve">Rilmenidin </v>
          </cell>
          <cell r="D552" t="str">
            <v>Uống</v>
          </cell>
        </row>
        <row r="553">
          <cell r="B553">
            <v>547</v>
          </cell>
          <cell r="C553" t="str">
            <v>Telmisartan</v>
          </cell>
          <cell r="D553" t="str">
            <v>Uống</v>
          </cell>
        </row>
        <row r="554">
          <cell r="B554">
            <v>548</v>
          </cell>
          <cell r="C554" t="str">
            <v>Telmisartan + hydroclorothiazid</v>
          </cell>
          <cell r="D554" t="str">
            <v>Uống</v>
          </cell>
        </row>
        <row r="555">
          <cell r="B555">
            <v>549</v>
          </cell>
          <cell r="C555" t="str">
            <v>Valsartan</v>
          </cell>
          <cell r="D555" t="str">
            <v>Uống</v>
          </cell>
        </row>
        <row r="556">
          <cell r="B556">
            <v>550</v>
          </cell>
          <cell r="C556" t="str">
            <v>Valsartan +  
hydroclorothiazid</v>
          </cell>
          <cell r="D556" t="str">
            <v>Uống</v>
          </cell>
        </row>
        <row r="557">
          <cell r="B557">
            <v>551</v>
          </cell>
          <cell r="C557" t="str">
            <v>Heptaminol hydroclorid</v>
          </cell>
          <cell r="D557" t="str">
            <v>Uống</v>
          </cell>
        </row>
        <row r="558">
          <cell r="B558">
            <v>552</v>
          </cell>
          <cell r="C558" t="str">
            <v xml:space="preserve">Carvedilol </v>
          </cell>
          <cell r="D558" t="str">
            <v>Uống</v>
          </cell>
        </row>
        <row r="559">
          <cell r="B559">
            <v>553</v>
          </cell>
          <cell r="C559" t="str">
            <v>Digoxin</v>
          </cell>
          <cell r="D559" t="str">
            <v>Tiêm/truyền, uống</v>
          </cell>
        </row>
        <row r="560">
          <cell r="B560">
            <v>554</v>
          </cell>
          <cell r="C560" t="str">
            <v>Dobutamin</v>
          </cell>
          <cell r="D560" t="str">
            <v>Tiêm/truyền</v>
          </cell>
        </row>
        <row r="561">
          <cell r="B561">
            <v>555</v>
          </cell>
          <cell r="C561" t="str">
            <v>Dopamin hydroclorid</v>
          </cell>
          <cell r="D561" t="str">
            <v>Tiêm/truyền</v>
          </cell>
        </row>
        <row r="562">
          <cell r="B562">
            <v>556</v>
          </cell>
          <cell r="C562" t="str">
            <v>Ivabradin</v>
          </cell>
          <cell r="D562" t="str">
            <v>Uống</v>
          </cell>
        </row>
        <row r="563">
          <cell r="B563">
            <v>557</v>
          </cell>
          <cell r="C563" t="str">
            <v>Milrinon</v>
          </cell>
          <cell r="D563" t="str">
            <v>Tiêm/truyền</v>
          </cell>
        </row>
        <row r="564">
          <cell r="B564">
            <v>558</v>
          </cell>
          <cell r="C564" t="str">
            <v>Acenocoumarol</v>
          </cell>
          <cell r="D564" t="str">
            <v>Uống</v>
          </cell>
        </row>
        <row r="565">
          <cell r="B565">
            <v>559</v>
          </cell>
          <cell r="C565" t="str">
            <v>Acetylsalicylic acid (DL-lysin-acetylsalicylat)</v>
          </cell>
          <cell r="D565" t="str">
            <v>Uống</v>
          </cell>
        </row>
        <row r="566">
          <cell r="B566">
            <v>560</v>
          </cell>
          <cell r="C566" t="str">
            <v>Acetylsalicylic acid + clopidogrel</v>
          </cell>
          <cell r="D566" t="str">
            <v>Uống</v>
          </cell>
        </row>
        <row r="567">
          <cell r="B567">
            <v>561</v>
          </cell>
          <cell r="C567" t="str">
            <v>Alteplase</v>
          </cell>
          <cell r="D567" t="str">
            <v>Tiêm/truyền</v>
          </cell>
        </row>
        <row r="568">
          <cell r="B568">
            <v>562</v>
          </cell>
          <cell r="C568" t="str">
            <v>Apixaban</v>
          </cell>
          <cell r="D568" t="str">
            <v>Uống</v>
          </cell>
          <cell r="F568" t="str">
            <v>Quỹ bảo hiểm y tế thanh toán trong điều trị COVID-19 theo hướng dẫn chẩn đoán và điều trị COVID-19 của Bộ Y tế.</v>
          </cell>
        </row>
        <row r="569">
          <cell r="B569">
            <v>563</v>
          </cell>
          <cell r="C569" t="str">
            <v>Clopidogrel</v>
          </cell>
          <cell r="D569" t="str">
            <v>Uống</v>
          </cell>
        </row>
        <row r="570">
          <cell r="B570">
            <v>564</v>
          </cell>
          <cell r="C570" t="str">
            <v>Dabigatran</v>
          </cell>
          <cell r="D570" t="str">
            <v>Uống</v>
          </cell>
        </row>
        <row r="571">
          <cell r="B571">
            <v>565</v>
          </cell>
          <cell r="C571" t="str">
            <v>Dipyridamol +  
acetylsalicylic acid</v>
          </cell>
          <cell r="D571" t="str">
            <v>Uống</v>
          </cell>
        </row>
        <row r="572">
          <cell r="B572">
            <v>566</v>
          </cell>
          <cell r="C572" t="str">
            <v xml:space="preserve">Eptifibatid </v>
          </cell>
          <cell r="D572" t="str">
            <v>Tiêm</v>
          </cell>
        </row>
        <row r="573">
          <cell r="B573">
            <v>567</v>
          </cell>
          <cell r="C573" t="str">
            <v xml:space="preserve">Fondaparinux sodium </v>
          </cell>
          <cell r="D573" t="str">
            <v>Tiêm</v>
          </cell>
        </row>
        <row r="574">
          <cell r="B574">
            <v>568</v>
          </cell>
          <cell r="C574" t="str">
            <v>Rivaroxaban</v>
          </cell>
          <cell r="D574" t="str">
            <v>Uống</v>
          </cell>
        </row>
        <row r="575">
          <cell r="B575">
            <v>569</v>
          </cell>
          <cell r="C575" t="str">
            <v>Streptokinase</v>
          </cell>
          <cell r="D575" t="str">
            <v>Tiêm</v>
          </cell>
          <cell r="E575" t="str">
            <v>Quỹ bảo hiểm y tế thanh  toán khi dùng để tiêm; hoặc  sử dụng để bơm rửa khoang  màng phổi trong trường hợp  viêm màng phổi hoặc mủ  màng phổi.</v>
          </cell>
          <cell r="F575" t="str">
            <v>Quỹ bảo hiểm y tế thanh  toán khi dùng để tiêm; hoặc  sử dụng để bơm rửa khoang  màng phổi trong trường hợp  viêm màng phổi hoặc mủ  màng phổi.</v>
          </cell>
        </row>
        <row r="576">
          <cell r="B576">
            <v>570</v>
          </cell>
          <cell r="C576" t="str">
            <v xml:space="preserve">Tenecteplase </v>
          </cell>
          <cell r="D576" t="str">
            <v>Tiêm</v>
          </cell>
        </row>
        <row r="577">
          <cell r="B577">
            <v>571</v>
          </cell>
          <cell r="C577" t="str">
            <v>Ticagrelor</v>
          </cell>
          <cell r="D577" t="str">
            <v>Uống</v>
          </cell>
          <cell r="E577" t="str">
            <v>Quỹ bảo hiểm y tế thanh toán 70%.</v>
          </cell>
          <cell r="F577" t="str">
            <v>Quỹ bảo hiểm y tế thanh toán 70%.</v>
          </cell>
        </row>
        <row r="578">
          <cell r="B578">
            <v>572</v>
          </cell>
          <cell r="C578" t="str">
            <v xml:space="preserve">Urokinase </v>
          </cell>
          <cell r="D578" t="str">
            <v>Tiêm</v>
          </cell>
          <cell r="E578" t="str">
            <v>Quỹ bảo hiểm y tế thanh  toán khi dùng để tiêm; hoặc  sử dụng để bơm rửa khoang  màng phổi trong trường hợp  viêm màng phổi hoặc mủ  màng phổi.</v>
          </cell>
          <cell r="F578" t="str">
            <v>Quỹ bảo hiểm y tế thanh  toán khi dùng để tiêm; hoặc  sử dụng để bơm rửa khoang  màng phổi trong trường hợp  viêm màng phổi hoặc mủ  màng phổi.</v>
          </cell>
        </row>
        <row r="579">
          <cell r="B579">
            <v>573</v>
          </cell>
          <cell r="C579" t="str">
            <v>Atorvastatin</v>
          </cell>
          <cell r="D579" t="str">
            <v>Uống</v>
          </cell>
        </row>
        <row r="580">
          <cell r="B580">
            <v>574</v>
          </cell>
          <cell r="C580" t="str">
            <v xml:space="preserve">Atorvastatin + ezetimibe </v>
          </cell>
          <cell r="D580" t="str">
            <v>Uống</v>
          </cell>
        </row>
        <row r="581">
          <cell r="B581">
            <v>575</v>
          </cell>
          <cell r="C581" t="str">
            <v>Bezafibrat</v>
          </cell>
          <cell r="D581" t="str">
            <v>Uống</v>
          </cell>
        </row>
        <row r="582">
          <cell r="B582">
            <v>576</v>
          </cell>
          <cell r="C582" t="str">
            <v xml:space="preserve">Ciprofibrat </v>
          </cell>
          <cell r="D582" t="str">
            <v>Uống</v>
          </cell>
        </row>
        <row r="583">
          <cell r="B583">
            <v>577</v>
          </cell>
          <cell r="C583" t="str">
            <v xml:space="preserve">Ezetimibe </v>
          </cell>
          <cell r="D583" t="str">
            <v>Uống</v>
          </cell>
        </row>
        <row r="584">
          <cell r="B584">
            <v>578</v>
          </cell>
          <cell r="C584" t="str">
            <v>Fenofibrat</v>
          </cell>
          <cell r="D584" t="str">
            <v>Uống</v>
          </cell>
        </row>
        <row r="585">
          <cell r="B585">
            <v>579</v>
          </cell>
          <cell r="C585" t="str">
            <v>Fluvastatin</v>
          </cell>
          <cell r="D585" t="str">
            <v>Uống</v>
          </cell>
        </row>
        <row r="586">
          <cell r="B586">
            <v>580</v>
          </cell>
          <cell r="C586" t="str">
            <v xml:space="preserve">Gemfibrozil </v>
          </cell>
          <cell r="D586" t="str">
            <v>Uống</v>
          </cell>
        </row>
        <row r="587">
          <cell r="B587">
            <v>581</v>
          </cell>
          <cell r="C587" t="str">
            <v xml:space="preserve">Lovastatin </v>
          </cell>
          <cell r="D587" t="str">
            <v>Uống</v>
          </cell>
        </row>
        <row r="588">
          <cell r="B588">
            <v>582</v>
          </cell>
          <cell r="C588" t="str">
            <v>Pravastatin</v>
          </cell>
          <cell r="D588" t="str">
            <v>Uống</v>
          </cell>
        </row>
        <row r="589">
          <cell r="B589">
            <v>583</v>
          </cell>
          <cell r="C589" t="str">
            <v>Rosuvastatin</v>
          </cell>
          <cell r="D589" t="str">
            <v>Uống</v>
          </cell>
        </row>
        <row r="590">
          <cell r="B590">
            <v>584</v>
          </cell>
          <cell r="C590" t="str">
            <v xml:space="preserve">Simvastatin </v>
          </cell>
          <cell r="D590" t="str">
            <v>Uống</v>
          </cell>
        </row>
        <row r="591">
          <cell r="B591">
            <v>585</v>
          </cell>
          <cell r="C591" t="str">
            <v>Simvastatin + ezetimibe</v>
          </cell>
          <cell r="D591" t="str">
            <v>Uống</v>
          </cell>
        </row>
        <row r="592">
          <cell r="B592">
            <v>586</v>
          </cell>
          <cell r="C592" t="str">
            <v>Bosentan</v>
          </cell>
          <cell r="D592" t="str">
            <v>Uống</v>
          </cell>
          <cell r="E592" t="str">
            <v xml:space="preserve">Quỹ bảo hiểm y tế thanh toán điều trị tăng áp lực động mạch phổi; thanh toán 50%. </v>
          </cell>
          <cell r="F592" t="str">
            <v xml:space="preserve">Quỹ bảo hiểm y tế thanh toán điều trị tăng áp lực động mạch phổi; thanh toán 50%. </v>
          </cell>
        </row>
        <row r="593">
          <cell r="B593">
            <v>587</v>
          </cell>
          <cell r="C593" t="str">
            <v>Iloprost</v>
          </cell>
          <cell r="D593" t="str">
            <v>Tiêm/truyền</v>
          </cell>
        </row>
        <row r="594">
          <cell r="B594">
            <v>588</v>
          </cell>
          <cell r="C594" t="str">
            <v xml:space="preserve">Prostaglandin E1 </v>
          </cell>
          <cell r="D594" t="str">
            <v>Tiêm</v>
          </cell>
          <cell r="E594" t="str">
            <v>Quỹ bảo hiểm y tế thanh  toán điều trị cấp cứu trường  hợp mở ống động mạch cho  trẻ sơ sinh mắc dị tật tim  bẩm sinh còn ống động  mạch.</v>
          </cell>
          <cell r="F594" t="str">
            <v>Quỹ bảo hiểm y tế thanh  toán điều trị cấp cứu trường  hợp mở ống động mạch cho  trẻ sơ sinh mắc dị tật tim  bẩm sinh còn ống động  mạch.</v>
          </cell>
        </row>
        <row r="595">
          <cell r="B595">
            <v>589</v>
          </cell>
          <cell r="C595" t="str">
            <v xml:space="preserve">Fructose 1,6 diphosphat </v>
          </cell>
          <cell r="D595" t="str">
            <v>Tiêm</v>
          </cell>
          <cell r="E595" t="str">
            <v>Quỹ bảo hiểm y tế thanh  toán trong các trường hợp: - Thiếu máu cơ tim cục bộ,  nhồi máu cơ tim diện rộng  giai đoạn sớm, phẫu thuật  tim thời gian tuần hoàn  ngoài cơ thể; 
- Sốc do tai biến tim, do  chấn thương, do chảy máu,  do đột quỵ hoặc nhiễm  trùng nặng; 
- Sau phẫu thuật gan hoặc bị  bỏng nặng.</v>
          </cell>
          <cell r="F595" t="str">
            <v>Quỹ bảo hiểm y tế thanh  toán trong các trường hợp: - Thiếu máu cơ tim cục bộ,  nhồi máu cơ tim diện rộng  giai đoạn sớm, phẫu thuật  tim thời gian tuần hoàn  ngoài cơ thể; 
- Sốc do tai biến tim, do  chấn thương, do chảy máu,  do đột quỵ hoặc nhiễm  trùng nặng; 
- Sau phẫu thuật gan hoặc bị  bỏng nặng.</v>
          </cell>
        </row>
        <row r="596">
          <cell r="B596">
            <v>590</v>
          </cell>
          <cell r="C596" t="str">
            <v xml:space="preserve">Indomethacin </v>
          </cell>
          <cell r="D596" t="str">
            <v>Tiêm</v>
          </cell>
          <cell r="E596" t="str">
            <v>Quỹ bảo hiểm y tế thanh toán  điều trị đóng chứng còn ống  động mạch ở trẻ đẻ non.</v>
          </cell>
          <cell r="F596" t="str">
            <v>Quỹ bảo hiểm y tế thanh toán  điều trị đóng chứng còn ống  động mạch ở trẻ đẻ non.</v>
          </cell>
        </row>
        <row r="597">
          <cell r="B597">
            <v>591</v>
          </cell>
          <cell r="C597" t="str">
            <v>Magnesi clorid + kali clorid  + procain hydroclorid</v>
          </cell>
          <cell r="D597" t="str">
            <v>Tiêm</v>
          </cell>
        </row>
        <row r="598">
          <cell r="B598">
            <v>592</v>
          </cell>
          <cell r="C598" t="str">
            <v xml:space="preserve">Naftidrofuryl </v>
          </cell>
          <cell r="D598" t="str">
            <v>Uống</v>
          </cell>
        </row>
        <row r="599">
          <cell r="B599">
            <v>593</v>
          </cell>
          <cell r="C599" t="str">
            <v>Nimodipin</v>
          </cell>
          <cell r="D599" t="str">
            <v>Tiêm/truyền, uống</v>
          </cell>
          <cell r="E599" t="str">
            <v>Quỹ bảo hiểm y tế thanh toán điều trị xuất huyết màng não do phình mạch não hoặc do chấn thương.</v>
          </cell>
          <cell r="F599" t="str">
            <v>Quỹ bảo hiểm y tế thanh toán điều trị xuất huyết màng não do phình mạch não hoặc do chấn thương.</v>
          </cell>
        </row>
        <row r="600">
          <cell r="B600">
            <v>594</v>
          </cell>
          <cell r="C600" t="str">
            <v>Nitric oxid (nitrogen  
monoxid) (NO)</v>
          </cell>
          <cell r="D600" t="str">
            <v>Khí nén</v>
          </cell>
          <cell r="E600" t="str">
            <v>Quỹ bảo hiểm y tế thanh  toán điều trị tăng áp lực  động mạch phổi ở trẻ em; sử  dụng trong và sau phẫu  thuật, can thiệp tim mạch.</v>
          </cell>
          <cell r="F600" t="str">
            <v>Quỹ bảo hiểm y tế thanh  toán điều trị tăng áp lực  động mạch phổi ở trẻ em; sử  dụng trong và sau phẫu  thuật, can thiệp tim mạch.</v>
          </cell>
        </row>
        <row r="601">
          <cell r="B601">
            <v>595</v>
          </cell>
          <cell r="C601" t="str">
            <v>Succinic acid + nicotinamid + inosine + riboflavin natri phosphat</v>
          </cell>
          <cell r="D601" t="str">
            <v>Tiêm/truyền</v>
          </cell>
          <cell r="E601" t="str">
            <v>Quỹ bảo hiểm y tế thanh toán điều trị đột quỵ thiếu máu cục bộ giai đoạn cấp tính.</v>
          </cell>
          <cell r="F601" t="str">
            <v>Quỹ bảo hiểm y tế thanh toán điều trị đột quỵ thiếu máu cục bộ giai đoạn cấp tính.</v>
          </cell>
        </row>
        <row r="602">
          <cell r="B602">
            <v>596</v>
          </cell>
          <cell r="C602" t="str">
            <v xml:space="preserve">Sulbutiamin </v>
          </cell>
          <cell r="D602" t="str">
            <v>Uống</v>
          </cell>
        </row>
        <row r="603">
          <cell r="B603">
            <v>597</v>
          </cell>
          <cell r="C603" t="str">
            <v xml:space="preserve">Tolazolin </v>
          </cell>
          <cell r="D603" t="str">
            <v>Tiêm, uống</v>
          </cell>
        </row>
        <row r="604">
          <cell r="B604">
            <v>598</v>
          </cell>
          <cell r="C604" t="str">
            <v xml:space="preserve">Acitretin </v>
          </cell>
          <cell r="D604" t="str">
            <v>Uống</v>
          </cell>
        </row>
        <row r="605">
          <cell r="B605">
            <v>599</v>
          </cell>
          <cell r="C605" t="str">
            <v xml:space="preserve">Adapalen </v>
          </cell>
          <cell r="D605" t="str">
            <v>Dùng ngoài</v>
          </cell>
        </row>
        <row r="606">
          <cell r="B606">
            <v>600</v>
          </cell>
          <cell r="C606" t="str">
            <v xml:space="preserve">Alpha - terpineol </v>
          </cell>
          <cell r="D606" t="str">
            <v>Dùng ngoài</v>
          </cell>
        </row>
        <row r="607">
          <cell r="B607">
            <v>601</v>
          </cell>
          <cell r="C607" t="str">
            <v xml:space="preserve">Amorolfin </v>
          </cell>
          <cell r="D607" t="str">
            <v>Dùng ngoài</v>
          </cell>
        </row>
        <row r="608">
          <cell r="B608">
            <v>602</v>
          </cell>
          <cell r="C608" t="str">
            <v xml:space="preserve">Azelaic acid </v>
          </cell>
          <cell r="D608" t="str">
            <v>Dùng ngoài</v>
          </cell>
        </row>
        <row r="609">
          <cell r="B609">
            <v>603</v>
          </cell>
          <cell r="C609" t="str">
            <v xml:space="preserve">Benzoic acid + salicylic acid </v>
          </cell>
          <cell r="D609" t="str">
            <v>Dùng ngoài</v>
          </cell>
        </row>
        <row r="610">
          <cell r="B610">
            <v>604</v>
          </cell>
          <cell r="C610" t="str">
            <v xml:space="preserve">Benzoyl peroxid </v>
          </cell>
          <cell r="D610" t="str">
            <v>Dùng ngoài</v>
          </cell>
        </row>
        <row r="611">
          <cell r="B611">
            <v>605</v>
          </cell>
          <cell r="C611" t="str">
            <v xml:space="preserve">Bột talc </v>
          </cell>
          <cell r="D611" t="str">
            <v>Dùng ngoài</v>
          </cell>
        </row>
        <row r="612">
          <cell r="B612">
            <v>606</v>
          </cell>
          <cell r="C612" t="str">
            <v xml:space="preserve">Calcipotriol </v>
          </cell>
          <cell r="D612" t="str">
            <v>Dùng ngoài</v>
          </cell>
        </row>
        <row r="613">
          <cell r="B613">
            <v>607</v>
          </cell>
          <cell r="C613" t="str">
            <v>Calcipotriol + betamethason  dipropionat</v>
          </cell>
          <cell r="D613" t="str">
            <v>Dùng ngoài</v>
          </cell>
        </row>
        <row r="614">
          <cell r="B614">
            <v>608</v>
          </cell>
          <cell r="C614" t="str">
            <v xml:space="preserve">Capsaicin </v>
          </cell>
          <cell r="D614" t="str">
            <v>Dùng ngoài</v>
          </cell>
        </row>
        <row r="615">
          <cell r="B615">
            <v>609</v>
          </cell>
          <cell r="C615" t="str">
            <v>Clotrimazol</v>
          </cell>
          <cell r="D615" t="str">
            <v>Dùng ngoài</v>
          </cell>
        </row>
        <row r="616">
          <cell r="B616">
            <v>609</v>
          </cell>
          <cell r="C616" t="str">
            <v>Clotrimazol</v>
          </cell>
          <cell r="D616" t="str">
            <v>Nhỏ tai</v>
          </cell>
        </row>
        <row r="617">
          <cell r="B617">
            <v>610</v>
          </cell>
          <cell r="C617" t="str">
            <v>Clobetasol propionat</v>
          </cell>
          <cell r="D617" t="str">
            <v>Dùng ngoài</v>
          </cell>
        </row>
        <row r="618">
          <cell r="B618">
            <v>611</v>
          </cell>
          <cell r="C618" t="str">
            <v xml:space="preserve">Clobetasol butyrat </v>
          </cell>
          <cell r="D618" t="str">
            <v>Dùng ngoài</v>
          </cell>
        </row>
        <row r="619">
          <cell r="B619">
            <v>612</v>
          </cell>
          <cell r="C619" t="str">
            <v xml:space="preserve">Cortison </v>
          </cell>
          <cell r="D619" t="str">
            <v>Dùng ngoài</v>
          </cell>
        </row>
        <row r="620">
          <cell r="B620">
            <v>613</v>
          </cell>
          <cell r="C620" t="str">
            <v xml:space="preserve">Cồn A.S.A </v>
          </cell>
          <cell r="D620" t="str">
            <v>Dùng ngoài</v>
          </cell>
        </row>
        <row r="621">
          <cell r="B621">
            <v>614</v>
          </cell>
          <cell r="C621" t="str">
            <v xml:space="preserve">Cồn boric </v>
          </cell>
          <cell r="D621" t="str">
            <v>Dùng ngoài</v>
          </cell>
        </row>
        <row r="622">
          <cell r="B622">
            <v>615</v>
          </cell>
          <cell r="C622" t="str">
            <v xml:space="preserve">Cồn BSI </v>
          </cell>
          <cell r="D622" t="str">
            <v>Dùng ngoài</v>
          </cell>
        </row>
        <row r="623">
          <cell r="B623">
            <v>616</v>
          </cell>
          <cell r="C623" t="str">
            <v xml:space="preserve">Crotamiton </v>
          </cell>
          <cell r="D623" t="str">
            <v>Dùng ngoài</v>
          </cell>
        </row>
        <row r="624">
          <cell r="B624">
            <v>617</v>
          </cell>
          <cell r="C624" t="str">
            <v xml:space="preserve">Dapson </v>
          </cell>
          <cell r="D624" t="str">
            <v>Uống</v>
          </cell>
        </row>
        <row r="625">
          <cell r="B625">
            <v>618</v>
          </cell>
          <cell r="C625" t="str">
            <v xml:space="preserve">Desonid </v>
          </cell>
          <cell r="D625" t="str">
            <v>Dùng ngoài</v>
          </cell>
        </row>
        <row r="626">
          <cell r="B626">
            <v>619</v>
          </cell>
          <cell r="C626" t="str">
            <v>Dexpanthenol  
(panthenol, vitamin B5)</v>
          </cell>
          <cell r="D626" t="str">
            <v>Dùng ngoài</v>
          </cell>
        </row>
        <row r="627">
          <cell r="B627">
            <v>620</v>
          </cell>
          <cell r="C627" t="str">
            <v xml:space="preserve">Diethylphtalat </v>
          </cell>
          <cell r="D627" t="str">
            <v>Dùng ngoài</v>
          </cell>
        </row>
        <row r="628">
          <cell r="B628">
            <v>621</v>
          </cell>
          <cell r="C628" t="str">
            <v>S-bioallethrin +  
piperonyl butoxid</v>
          </cell>
          <cell r="D628" t="str">
            <v>Dùng ngoài</v>
          </cell>
        </row>
        <row r="629">
          <cell r="B629">
            <v>622</v>
          </cell>
          <cell r="C629" t="str">
            <v xml:space="preserve">Flumethason + clioquinol </v>
          </cell>
          <cell r="D629" t="str">
            <v>Dùng ngoài</v>
          </cell>
        </row>
        <row r="630">
          <cell r="B630">
            <v>623</v>
          </cell>
          <cell r="C630" t="str">
            <v>Fusidic acid</v>
          </cell>
          <cell r="D630" t="str">
            <v>Dùng ngoài</v>
          </cell>
        </row>
        <row r="631">
          <cell r="B631">
            <v>624</v>
          </cell>
          <cell r="C631" t="str">
            <v>Fusidic acid + betamethason</v>
          </cell>
          <cell r="D631" t="str">
            <v>Dùng ngoài</v>
          </cell>
        </row>
        <row r="632">
          <cell r="B632">
            <v>625</v>
          </cell>
          <cell r="C632" t="str">
            <v>Fusidic acid + hydrocortison</v>
          </cell>
          <cell r="D632" t="str">
            <v>Dùng ngoài</v>
          </cell>
        </row>
        <row r="633">
          <cell r="B633">
            <v>626</v>
          </cell>
          <cell r="C633" t="str">
            <v xml:space="preserve">Isotretinoin </v>
          </cell>
          <cell r="D633" t="str">
            <v>Uống, dùng ngoài</v>
          </cell>
        </row>
        <row r="634">
          <cell r="B634">
            <v>627</v>
          </cell>
          <cell r="C634" t="str">
            <v>Kẽm oxid</v>
          </cell>
          <cell r="D634" t="str">
            <v>Dùng ngoài</v>
          </cell>
        </row>
        <row r="635">
          <cell r="B635">
            <v>628</v>
          </cell>
          <cell r="C635" t="str">
            <v xml:space="preserve">Mometason furoat </v>
          </cell>
          <cell r="D635" t="str">
            <v>Dùng ngoài</v>
          </cell>
        </row>
        <row r="636">
          <cell r="B636">
            <v>629</v>
          </cell>
          <cell r="C636" t="str">
            <v>Mometason furoat +  
salicylic acid</v>
          </cell>
          <cell r="D636" t="str">
            <v>Dùng ngoài</v>
          </cell>
        </row>
        <row r="637">
          <cell r="B637">
            <v>630</v>
          </cell>
          <cell r="C637" t="str">
            <v>Mupirocin</v>
          </cell>
          <cell r="D637" t="str">
            <v>Dùng ngoài</v>
          </cell>
        </row>
        <row r="638">
          <cell r="B638">
            <v>631</v>
          </cell>
          <cell r="C638" t="str">
            <v xml:space="preserve">Natri hydrocarbonat </v>
          </cell>
          <cell r="D638" t="str">
            <v>Dùng ngoài</v>
          </cell>
        </row>
        <row r="639">
          <cell r="B639">
            <v>632</v>
          </cell>
          <cell r="C639" t="str">
            <v>Nepidermin</v>
          </cell>
          <cell r="D639" t="str">
            <v>Tiêm/truyền</v>
          </cell>
        </row>
        <row r="640">
          <cell r="B640">
            <v>633</v>
          </cell>
          <cell r="C640" t="str">
            <v xml:space="preserve">Nước oxy già </v>
          </cell>
          <cell r="D640" t="str">
            <v>Dùng ngoài</v>
          </cell>
        </row>
        <row r="641">
          <cell r="B641">
            <v>634</v>
          </cell>
          <cell r="C641" t="str">
            <v xml:space="preserve">Para aminobenzoic acid </v>
          </cell>
          <cell r="D641" t="str">
            <v>Uống</v>
          </cell>
        </row>
        <row r="642">
          <cell r="B642">
            <v>635</v>
          </cell>
          <cell r="C642" t="str">
            <v>Recombinant human Epidermal Growth Factor (rhEGF)</v>
          </cell>
          <cell r="D642" t="str">
            <v>Tiêm/truyền</v>
          </cell>
          <cell r="E642" t="str">
            <v>Quỹ bảo hiểm y tế thanh toán điều trị tổn thương loét nặng do đái tháo đường độ 3, độ 4.</v>
          </cell>
          <cell r="F642" t="str">
            <v>Quỹ bảo hiểm y tế thanh toán điều trị tổn thương loét nặng do đái tháo đường độ 3, độ 4.</v>
          </cell>
        </row>
        <row r="643">
          <cell r="B643">
            <v>636</v>
          </cell>
          <cell r="C643" t="str">
            <v xml:space="preserve">Salicylic acid </v>
          </cell>
          <cell r="D643" t="str">
            <v>Dùng ngoài</v>
          </cell>
        </row>
        <row r="644">
          <cell r="B644">
            <v>637</v>
          </cell>
          <cell r="C644" t="str">
            <v>Salicylic acid +  
betamethason dipropionat</v>
          </cell>
          <cell r="D644" t="str">
            <v>Dùng ngoài</v>
          </cell>
        </row>
        <row r="645">
          <cell r="B645">
            <v>638</v>
          </cell>
          <cell r="C645" t="str">
            <v>Secukinumab</v>
          </cell>
          <cell r="D645" t="str">
            <v>Tiêm/truyền</v>
          </cell>
          <cell r="E645" t="str">
            <v>Quỹ bảo hiểm y tế thanh toán 50%.</v>
          </cell>
          <cell r="F645" t="str">
            <v>Quỹ bảo hiểm y tế thanh toán 50%.</v>
          </cell>
        </row>
        <row r="646">
          <cell r="B646">
            <v>639</v>
          </cell>
          <cell r="C646" t="str">
            <v xml:space="preserve">Tacrolimus </v>
          </cell>
          <cell r="D646" t="str">
            <v>Dùng ngoài</v>
          </cell>
        </row>
        <row r="647">
          <cell r="B647">
            <v>640</v>
          </cell>
          <cell r="C647" t="str">
            <v xml:space="preserve">Tretinoin </v>
          </cell>
          <cell r="D647" t="str">
            <v>Dùng ngoài</v>
          </cell>
        </row>
        <row r="648">
          <cell r="B648">
            <v>641</v>
          </cell>
          <cell r="C648" t="str">
            <v>Trolamin</v>
          </cell>
          <cell r="D648" t="str">
            <v>Dùng ngoài</v>
          </cell>
        </row>
        <row r="649">
          <cell r="B649">
            <v>642</v>
          </cell>
          <cell r="C649" t="str">
            <v>Tyrothricin</v>
          </cell>
          <cell r="D649" t="str">
            <v>Dùng ngoài</v>
          </cell>
        </row>
        <row r="650">
          <cell r="B650">
            <v>643</v>
          </cell>
          <cell r="C650" t="str">
            <v xml:space="preserve">Urea </v>
          </cell>
          <cell r="D650" t="str">
            <v>Dùng ngoài</v>
          </cell>
        </row>
        <row r="651">
          <cell r="B651">
            <v>644</v>
          </cell>
          <cell r="C651" t="str">
            <v xml:space="preserve">Ustekinumab </v>
          </cell>
          <cell r="D651" t="str">
            <v>Tiêm</v>
          </cell>
          <cell r="E651" t="str">
            <v>Quỹ bảo hiểm y tế thanh  toán 50%.</v>
          </cell>
          <cell r="F651" t="str">
            <v>Quỹ bảo hiểm y tế thanh  toán 50%.</v>
          </cell>
        </row>
        <row r="652">
          <cell r="B652">
            <v>645</v>
          </cell>
          <cell r="C652" t="str">
            <v>Fluorescein (natri)</v>
          </cell>
          <cell r="D652" t="str">
            <v>Tiêm/truyền</v>
          </cell>
        </row>
        <row r="653">
          <cell r="B653">
            <v>646</v>
          </cell>
          <cell r="C653" t="str">
            <v xml:space="preserve">Adipiodon (meglumin) </v>
          </cell>
          <cell r="D653" t="str">
            <v xml:space="preserve">Tiêm truyền </v>
          </cell>
        </row>
        <row r="654">
          <cell r="B654">
            <v>647</v>
          </cell>
          <cell r="C654" t="str">
            <v xml:space="preserve">Amidotrizoat </v>
          </cell>
          <cell r="D654" t="str">
            <v>Tiêm</v>
          </cell>
        </row>
        <row r="655">
          <cell r="B655">
            <v>648</v>
          </cell>
          <cell r="C655" t="str">
            <v>Bari sulfat</v>
          </cell>
          <cell r="D655" t="str">
            <v>Uống</v>
          </cell>
        </row>
        <row r="656">
          <cell r="B656">
            <v>649</v>
          </cell>
          <cell r="C656" t="str">
            <v>Ethyl ester của acid béo iod hóa trong dầu hạt thuốc phiện</v>
          </cell>
          <cell r="D656" t="str">
            <v>Tiêm/truyền</v>
          </cell>
        </row>
        <row r="657">
          <cell r="B657">
            <v>650</v>
          </cell>
          <cell r="C657" t="str">
            <v>Gadobenic acid  
(dimeglumin)</v>
          </cell>
          <cell r="D657" t="str">
            <v>Tiêm</v>
          </cell>
          <cell r="E657" t="str">
            <v>Quỹ bảo hiểm y tế thanh  toán tiêm tĩnh mạch trong  chụp chiếu gan.</v>
          </cell>
          <cell r="F657" t="str">
            <v>Quỹ bảo hiểm y tế thanh  toán tiêm tĩnh mạch trong  chụp chiếu gan.</v>
          </cell>
        </row>
        <row r="658">
          <cell r="B658">
            <v>651</v>
          </cell>
          <cell r="C658" t="str">
            <v xml:space="preserve">Gadobutrol </v>
          </cell>
          <cell r="D658" t="str">
            <v>Tiêm</v>
          </cell>
        </row>
        <row r="659">
          <cell r="B659">
            <v>652</v>
          </cell>
          <cell r="C659" t="str">
            <v>Gadoteric acid</v>
          </cell>
          <cell r="D659" t="str">
            <v>Tiêm/truyền</v>
          </cell>
        </row>
        <row r="660">
          <cell r="B660">
            <v>653</v>
          </cell>
          <cell r="C660" t="str">
            <v>Iobitridol</v>
          </cell>
          <cell r="D660" t="str">
            <v>Tiêm/truyền</v>
          </cell>
        </row>
        <row r="661">
          <cell r="B661">
            <v>654</v>
          </cell>
          <cell r="C661" t="str">
            <v xml:space="preserve">Iodixanol </v>
          </cell>
          <cell r="D661" t="str">
            <v>Tiêm</v>
          </cell>
          <cell r="E661" t="str">
            <v>Quỹ bảo hiểm y tế thanh  toán 50%.</v>
          </cell>
          <cell r="F661" t="str">
            <v>Quỹ bảo hiểm y tế thanh  toán 50%.</v>
          </cell>
        </row>
        <row r="662">
          <cell r="B662">
            <v>655</v>
          </cell>
          <cell r="C662" t="str">
            <v>Iohexol</v>
          </cell>
          <cell r="D662" t="str">
            <v>Tiêm/truyền</v>
          </cell>
        </row>
        <row r="663">
          <cell r="B663">
            <v>656</v>
          </cell>
          <cell r="C663" t="str">
            <v>Iod (dưới dạng Iopamidol 612,4mg/ml)</v>
          </cell>
          <cell r="D663" t="str">
            <v>Tiêm/truyền</v>
          </cell>
        </row>
        <row r="664">
          <cell r="B664">
            <v>657</v>
          </cell>
          <cell r="C664" t="str">
            <v xml:space="preserve">Iopromid acid </v>
          </cell>
          <cell r="D664" t="str">
            <v>Tiêm</v>
          </cell>
        </row>
        <row r="665">
          <cell r="B665">
            <v>658</v>
          </cell>
          <cell r="C665" t="str">
            <v>Ioxitalamat natri +  
ioxitalamat meglumin</v>
          </cell>
          <cell r="D665" t="str">
            <v>Tiêm</v>
          </cell>
        </row>
        <row r="666">
          <cell r="B666">
            <v>659</v>
          </cell>
          <cell r="C666" t="str">
            <v>Muối natri và meglumin của  acid ioxaglic</v>
          </cell>
          <cell r="D666" t="str">
            <v>Tiêm</v>
          </cell>
        </row>
        <row r="667">
          <cell r="B667">
            <v>660</v>
          </cell>
          <cell r="C667" t="str">
            <v xml:space="preserve">Polidocanol </v>
          </cell>
          <cell r="D667" t="str">
            <v>Tiêm</v>
          </cell>
        </row>
        <row r="668">
          <cell r="B668">
            <v>661</v>
          </cell>
          <cell r="C668" t="str">
            <v xml:space="preserve">Cồn 70° </v>
          </cell>
          <cell r="D668" t="str">
            <v>Dùng ngoài</v>
          </cell>
        </row>
        <row r="669">
          <cell r="B669">
            <v>662</v>
          </cell>
          <cell r="C669" t="str">
            <v xml:space="preserve">Cồn iod </v>
          </cell>
          <cell r="D669" t="str">
            <v>Dùng ngoài</v>
          </cell>
        </row>
        <row r="670">
          <cell r="B670">
            <v>663</v>
          </cell>
          <cell r="C670" t="str">
            <v xml:space="preserve">Đồng sulfat </v>
          </cell>
          <cell r="D670" t="str">
            <v>Dùng ngoài</v>
          </cell>
        </row>
        <row r="671">
          <cell r="B671">
            <v>664</v>
          </cell>
          <cell r="C671" t="str">
            <v>Povidon iodin</v>
          </cell>
          <cell r="D671" t="str">
            <v>Dùng ngoài</v>
          </cell>
        </row>
        <row r="672">
          <cell r="B672">
            <v>665</v>
          </cell>
          <cell r="C672" t="str">
            <v xml:space="preserve">Natri hypoclorid đậm đặc </v>
          </cell>
          <cell r="D672" t="str">
            <v>Dùng ngoài</v>
          </cell>
        </row>
        <row r="673">
          <cell r="B673">
            <v>666</v>
          </cell>
          <cell r="C673" t="str">
            <v>Natri clorid</v>
          </cell>
          <cell r="D673" t="str">
            <v>Dùng ngoài</v>
          </cell>
        </row>
        <row r="674">
          <cell r="B674">
            <v>667</v>
          </cell>
          <cell r="C674" t="str">
            <v>Furosemid</v>
          </cell>
          <cell r="D674" t="str">
            <v>Tiêm/truyền, uống</v>
          </cell>
        </row>
        <row r="675">
          <cell r="B675">
            <v>668</v>
          </cell>
          <cell r="C675" t="str">
            <v xml:space="preserve">Furosemid + spironolacton </v>
          </cell>
          <cell r="D675" t="str">
            <v>Uống</v>
          </cell>
        </row>
        <row r="676">
          <cell r="B676">
            <v>669</v>
          </cell>
          <cell r="C676" t="str">
            <v xml:space="preserve">Hydroclorothiazid </v>
          </cell>
          <cell r="D676" t="str">
            <v>Uống</v>
          </cell>
        </row>
        <row r="677">
          <cell r="B677">
            <v>670</v>
          </cell>
          <cell r="C677" t="str">
            <v>Spironolacton</v>
          </cell>
          <cell r="D677" t="str">
            <v>Uống</v>
          </cell>
        </row>
        <row r="678">
          <cell r="B678">
            <v>671</v>
          </cell>
          <cell r="C678" t="str">
            <v>Aluminum phosphat</v>
          </cell>
          <cell r="D678" t="str">
            <v>Uống</v>
          </cell>
        </row>
        <row r="679">
          <cell r="B679">
            <v>672</v>
          </cell>
          <cell r="C679" t="str">
            <v>Attapulgit mormoiron hoạt hóa + hỗn hợp magnesi carbonat-nhôm hydroxyd</v>
          </cell>
          <cell r="D679" t="str">
            <v>Uống</v>
          </cell>
        </row>
        <row r="680">
          <cell r="B680">
            <v>673</v>
          </cell>
          <cell r="C680" t="str">
            <v>Bismuth</v>
          </cell>
          <cell r="D680" t="str">
            <v>Uống</v>
          </cell>
        </row>
        <row r="681">
          <cell r="B681">
            <v>674</v>
          </cell>
          <cell r="C681" t="str">
            <v xml:space="preserve">Cimetidin </v>
          </cell>
          <cell r="D681" t="str">
            <v>Tiêm, uống</v>
          </cell>
        </row>
        <row r="682">
          <cell r="B682">
            <v>675</v>
          </cell>
          <cell r="C682" t="str">
            <v>Famotidin</v>
          </cell>
          <cell r="D682" t="str">
            <v>Tiêm/truyền</v>
          </cell>
        </row>
        <row r="683">
          <cell r="B683">
            <v>676</v>
          </cell>
          <cell r="C683" t="str">
            <v xml:space="preserve">Guaiazulen + dimethicon </v>
          </cell>
          <cell r="D683" t="str">
            <v>Uống</v>
          </cell>
        </row>
        <row r="684">
          <cell r="B684">
            <v>677</v>
          </cell>
          <cell r="C684" t="str">
            <v xml:space="preserve">Lansoprazol </v>
          </cell>
          <cell r="D684" t="str">
            <v>Uống</v>
          </cell>
          <cell r="E684" t="str">
            <v>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F684" t="str">
            <v>Quỹ bảo hiểm y tế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row>
        <row r="685">
          <cell r="B685">
            <v>678</v>
          </cell>
          <cell r="C685" t="str">
            <v>Magnesi hydroxyd + nhôm  hydroxyd</v>
          </cell>
          <cell r="D685" t="str">
            <v>Uống</v>
          </cell>
        </row>
        <row r="686">
          <cell r="B686">
            <v>679</v>
          </cell>
          <cell r="C686" t="str">
            <v>Magnesi hydroxyd + nhôm hydroxyd + simethicon</v>
          </cell>
          <cell r="D686" t="str">
            <v>Uống</v>
          </cell>
        </row>
        <row r="687">
          <cell r="B687">
            <v>680</v>
          </cell>
          <cell r="C687" t="str">
            <v>Magnesi trisilicat + nhôm hydroxyd</v>
          </cell>
          <cell r="D687" t="str">
            <v>Uống</v>
          </cell>
        </row>
        <row r="688">
          <cell r="B688">
            <v>681</v>
          </cell>
          <cell r="C688" t="str">
            <v xml:space="preserve">Nizatidin </v>
          </cell>
          <cell r="D688" t="str">
            <v>Uống</v>
          </cell>
        </row>
        <row r="689">
          <cell r="B689">
            <v>682</v>
          </cell>
          <cell r="C689" t="str">
            <v>Omeprazol</v>
          </cell>
          <cell r="D689" t="str">
            <v>Tiêm/truyền, uống</v>
          </cell>
          <cell r="E68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F689"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row>
        <row r="690">
          <cell r="B690">
            <v>683</v>
          </cell>
          <cell r="C690" t="str">
            <v>Esomeprazol</v>
          </cell>
          <cell r="D690" t="str">
            <v>Tiêm/truyền, uống</v>
          </cell>
          <cell r="E69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F690"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row>
        <row r="691">
          <cell r="B691">
            <v>684</v>
          </cell>
          <cell r="C691" t="str">
            <v>Pantoprazol</v>
          </cell>
          <cell r="D691" t="str">
            <v>Tiêm/truyền, uống</v>
          </cell>
          <cell r="E69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F691"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row>
        <row r="692">
          <cell r="B692">
            <v>685</v>
          </cell>
          <cell r="C692" t="str">
            <v>Rabeprazol</v>
          </cell>
          <cell r="D692" t="str">
            <v>Tiêm/truyền, uống</v>
          </cell>
          <cell r="E69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cell r="F692" t="str">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ell>
        </row>
        <row r="693">
          <cell r="B693">
            <v>686</v>
          </cell>
          <cell r="C693" t="str">
            <v xml:space="preserve">Ranitidin </v>
          </cell>
          <cell r="D693" t="str">
            <v>Tiêm, uống</v>
          </cell>
        </row>
        <row r="694">
          <cell r="B694">
            <v>687</v>
          </cell>
          <cell r="C694" t="str">
            <v>Ranitidin + bismuth +  
sucralfat</v>
          </cell>
          <cell r="D694" t="str">
            <v>Uống</v>
          </cell>
        </row>
        <row r="695">
          <cell r="B695">
            <v>688</v>
          </cell>
          <cell r="C695" t="str">
            <v>Rebamipid</v>
          </cell>
          <cell r="D695" t="str">
            <v>Uống</v>
          </cell>
        </row>
        <row r="696">
          <cell r="B696">
            <v>689</v>
          </cell>
          <cell r="C696" t="str">
            <v>Sucralfat</v>
          </cell>
          <cell r="D696" t="str">
            <v>Uống</v>
          </cell>
        </row>
        <row r="697">
          <cell r="B697">
            <v>690</v>
          </cell>
          <cell r="C697" t="str">
            <v xml:space="preserve">Dimenhydrinat </v>
          </cell>
          <cell r="D697" t="str">
            <v>Uống</v>
          </cell>
        </row>
        <row r="698">
          <cell r="B698">
            <v>691</v>
          </cell>
          <cell r="C698" t="str">
            <v>Domperidon</v>
          </cell>
          <cell r="D698" t="str">
            <v>Uống</v>
          </cell>
        </row>
        <row r="699">
          <cell r="B699">
            <v>692</v>
          </cell>
          <cell r="C699" t="str">
            <v>Granisetron hydroclorid</v>
          </cell>
          <cell r="D699" t="str">
            <v>Tiêm/truyền</v>
          </cell>
        </row>
        <row r="700">
          <cell r="B700">
            <v>693</v>
          </cell>
          <cell r="C700" t="str">
            <v>Metoclopramid</v>
          </cell>
          <cell r="D700" t="str">
            <v>Tiêm/truyền, uống</v>
          </cell>
        </row>
        <row r="701">
          <cell r="B701">
            <v>694</v>
          </cell>
          <cell r="C701" t="str">
            <v>Ondansetron</v>
          </cell>
          <cell r="D701" t="str">
            <v>Tiêm/truyền, uống</v>
          </cell>
        </row>
        <row r="702">
          <cell r="B702">
            <v>695</v>
          </cell>
          <cell r="C702" t="str">
            <v>Palonosetron hydroclorid</v>
          </cell>
          <cell r="D702" t="str">
            <v>Tiêm/truyền</v>
          </cell>
        </row>
        <row r="703">
          <cell r="B703">
            <v>696</v>
          </cell>
          <cell r="C703" t="str">
            <v>Alverin citrat</v>
          </cell>
          <cell r="D703" t="str">
            <v>Uống</v>
          </cell>
        </row>
        <row r="704">
          <cell r="B704">
            <v>697</v>
          </cell>
          <cell r="C704" t="str">
            <v>Alverin citrat + simethicon</v>
          </cell>
          <cell r="D704" t="str">
            <v>Uống</v>
          </cell>
        </row>
        <row r="705">
          <cell r="B705">
            <v>698</v>
          </cell>
          <cell r="C705" t="str">
            <v xml:space="preserve">Atropin sulfat </v>
          </cell>
          <cell r="D705" t="str">
            <v>Tiêm, uống</v>
          </cell>
        </row>
        <row r="706">
          <cell r="B706">
            <v>699</v>
          </cell>
          <cell r="C706" t="str">
            <v>Drotaverin clohydrat</v>
          </cell>
          <cell r="D706" t="str">
            <v>Tiêm/truyền, uống</v>
          </cell>
        </row>
        <row r="707">
          <cell r="B707">
            <v>700</v>
          </cell>
          <cell r="C707" t="str">
            <v>Hyoscin butylbromid</v>
          </cell>
          <cell r="D707" t="str">
            <v>Tiêm/truyền</v>
          </cell>
        </row>
        <row r="708">
          <cell r="B708">
            <v>701</v>
          </cell>
          <cell r="C708" t="str">
            <v>Mebeverin hydroclorid</v>
          </cell>
          <cell r="D708" t="str">
            <v>Uống</v>
          </cell>
        </row>
        <row r="709">
          <cell r="B709">
            <v>702</v>
          </cell>
          <cell r="C709" t="str">
            <v>Papaverin hydroclorid</v>
          </cell>
          <cell r="D709" t="str">
            <v>Tiêm/truyền</v>
          </cell>
        </row>
        <row r="710">
          <cell r="B710">
            <v>703</v>
          </cell>
          <cell r="C710" t="str">
            <v>Phloroglucinol hydrat +  trimethyl phloroglucinol</v>
          </cell>
          <cell r="D710" t="str">
            <v>Tiêm, uống</v>
          </cell>
        </row>
        <row r="711">
          <cell r="B711">
            <v>704</v>
          </cell>
          <cell r="C711" t="str">
            <v xml:space="preserve">Tiemonium methylsulfat </v>
          </cell>
          <cell r="D711" t="str">
            <v>Tiêm</v>
          </cell>
        </row>
        <row r="712">
          <cell r="B712">
            <v>705</v>
          </cell>
          <cell r="C712" t="str">
            <v xml:space="preserve">Tiropramid hydroclorid </v>
          </cell>
          <cell r="D712" t="str">
            <v>Uống</v>
          </cell>
        </row>
        <row r="713">
          <cell r="B713">
            <v>706</v>
          </cell>
          <cell r="C713" t="str">
            <v>Bisacodyl</v>
          </cell>
          <cell r="D713" t="str">
            <v>Uống</v>
          </cell>
        </row>
        <row r="714">
          <cell r="B714">
            <v>707</v>
          </cell>
          <cell r="C714" t="str">
            <v xml:space="preserve">Docusate natri </v>
          </cell>
          <cell r="D714" t="str">
            <v>Uống, thụt  hậu môn/  
trực tràng</v>
          </cell>
        </row>
        <row r="715">
          <cell r="B715">
            <v>708</v>
          </cell>
          <cell r="C715" t="str">
            <v xml:space="preserve">Glycerol </v>
          </cell>
          <cell r="D715" t="str">
            <v>Thụt hậu  
môn/ trực  
tràng</v>
          </cell>
        </row>
        <row r="716">
          <cell r="B716">
            <v>709</v>
          </cell>
          <cell r="C716" t="str">
            <v>Lactulose</v>
          </cell>
          <cell r="D716" t="str">
            <v>Uống</v>
          </cell>
        </row>
        <row r="717">
          <cell r="B717">
            <v>710</v>
          </cell>
          <cell r="C717" t="str">
            <v>Macrogol</v>
          </cell>
          <cell r="D717" t="str">
            <v>Uống</v>
          </cell>
        </row>
        <row r="718">
          <cell r="B718">
            <v>711</v>
          </cell>
          <cell r="C718" t="str">
            <v>Macrogol + natri sulfat + natri bicarbonat + natri clorid + kali clorid</v>
          </cell>
          <cell r="D718" t="str">
            <v>Uống</v>
          </cell>
        </row>
        <row r="719">
          <cell r="B719">
            <v>712</v>
          </cell>
          <cell r="C719" t="str">
            <v xml:space="preserve">Magnesi sulfat </v>
          </cell>
          <cell r="D719" t="str">
            <v>Uống</v>
          </cell>
        </row>
        <row r="720">
          <cell r="B720">
            <v>713</v>
          </cell>
          <cell r="C720" t="str">
            <v>Monobasic natri phosphat + dibasic natri phosphat</v>
          </cell>
          <cell r="D720" t="str">
            <v>Thụt hậu môn/ trực tràng</v>
          </cell>
        </row>
        <row r="721">
          <cell r="B721">
            <v>714</v>
          </cell>
          <cell r="C721" t="str">
            <v>Sorbitol</v>
          </cell>
          <cell r="D721" t="str">
            <v>Uống</v>
          </cell>
        </row>
        <row r="722">
          <cell r="B722">
            <v>715</v>
          </cell>
          <cell r="C722" t="str">
            <v>Sorbitol + natri citrat</v>
          </cell>
          <cell r="D722" t="str">
            <v>Thụt hậu môn/ trực tràng</v>
          </cell>
        </row>
        <row r="723">
          <cell r="B723">
            <v>716</v>
          </cell>
          <cell r="C723" t="str">
            <v>Attapulgit mormoiron hoạt hóa</v>
          </cell>
          <cell r="D723" t="str">
            <v>Uống</v>
          </cell>
        </row>
        <row r="724">
          <cell r="B724">
            <v>717</v>
          </cell>
          <cell r="C724" t="str">
            <v>Bacillus subtilis</v>
          </cell>
          <cell r="D724" t="str">
            <v>Uống</v>
          </cell>
        </row>
        <row r="725">
          <cell r="B725">
            <v>718</v>
          </cell>
          <cell r="C725" t="str">
            <v>Bacillus clausii</v>
          </cell>
          <cell r="D725" t="str">
            <v>Uống</v>
          </cell>
        </row>
        <row r="726">
          <cell r="B726">
            <v>719</v>
          </cell>
          <cell r="C726" t="str">
            <v>Berberin (hydroclorid)</v>
          </cell>
          <cell r="D726" t="str">
            <v>Uống</v>
          </cell>
        </row>
        <row r="727">
          <cell r="B727">
            <v>720</v>
          </cell>
          <cell r="C727" t="str">
            <v>Dioctahedral smectit</v>
          </cell>
          <cell r="D727" t="str">
            <v>Uống</v>
          </cell>
        </row>
        <row r="728">
          <cell r="B728">
            <v>721</v>
          </cell>
          <cell r="C728" t="str">
            <v>Diosmectit</v>
          </cell>
          <cell r="D728" t="str">
            <v>Uống</v>
          </cell>
        </row>
        <row r="729">
          <cell r="B729">
            <v>722</v>
          </cell>
          <cell r="C729" t="str">
            <v xml:space="preserve">Gelatin tannat </v>
          </cell>
          <cell r="D729" t="str">
            <v>Uống</v>
          </cell>
        </row>
        <row r="730">
          <cell r="B730">
            <v>723</v>
          </cell>
          <cell r="C730" t="str">
            <v xml:space="preserve">Kẽm sulfat </v>
          </cell>
          <cell r="D730" t="str">
            <v>Uống, dùng ngoài</v>
          </cell>
        </row>
        <row r="731">
          <cell r="B731">
            <v>724</v>
          </cell>
          <cell r="C731" t="str">
            <v>Kẽm gluconat</v>
          </cell>
          <cell r="D731" t="str">
            <v>Uống</v>
          </cell>
        </row>
        <row r="732">
          <cell r="B732">
            <v>725</v>
          </cell>
          <cell r="C732" t="str">
            <v>Lactobacillus acidophilus</v>
          </cell>
          <cell r="D732" t="str">
            <v>Uống</v>
          </cell>
        </row>
        <row r="733">
          <cell r="B733">
            <v>726</v>
          </cell>
          <cell r="C733" t="str">
            <v>Loperamid</v>
          </cell>
          <cell r="D733" t="str">
            <v>Uống</v>
          </cell>
        </row>
        <row r="734">
          <cell r="B734">
            <v>727</v>
          </cell>
          <cell r="C734" t="str">
            <v xml:space="preserve">Nifuroxazid </v>
          </cell>
          <cell r="D734" t="str">
            <v>Uống</v>
          </cell>
        </row>
        <row r="735">
          <cell r="B735">
            <v>728</v>
          </cell>
          <cell r="C735" t="str">
            <v>Racecadotril</v>
          </cell>
          <cell r="D735" t="str">
            <v>Uống</v>
          </cell>
        </row>
        <row r="736">
          <cell r="B736">
            <v>729</v>
          </cell>
          <cell r="C736" t="str">
            <v>Saccharomyces boulardii</v>
          </cell>
          <cell r="D736" t="str">
            <v>Uống</v>
          </cell>
        </row>
        <row r="737">
          <cell r="B737">
            <v>730</v>
          </cell>
          <cell r="C737" t="str">
            <v>Cao ginkgo biloba + heptaminol clohydrat + troxerutin</v>
          </cell>
          <cell r="D737" t="str">
            <v>Uống</v>
          </cell>
        </row>
        <row r="738">
          <cell r="B738">
            <v>731</v>
          </cell>
          <cell r="C738" t="str">
            <v>Diosmin</v>
          </cell>
          <cell r="D738" t="str">
            <v>Uống</v>
          </cell>
        </row>
        <row r="739">
          <cell r="B739">
            <v>732</v>
          </cell>
          <cell r="C739" t="str">
            <v>Diosmin + hesperidin</v>
          </cell>
          <cell r="D739" t="str">
            <v>Uống</v>
          </cell>
        </row>
        <row r="740">
          <cell r="B740">
            <v>733</v>
          </cell>
          <cell r="C740" t="str">
            <v xml:space="preserve">Amylase + lipase + protease </v>
          </cell>
          <cell r="D740" t="str">
            <v>Uống</v>
          </cell>
        </row>
        <row r="741">
          <cell r="B741">
            <v>734</v>
          </cell>
          <cell r="C741" t="str">
            <v xml:space="preserve">Citrullin malat </v>
          </cell>
          <cell r="D741" t="str">
            <v>Uống</v>
          </cell>
        </row>
        <row r="742">
          <cell r="B742">
            <v>735</v>
          </cell>
          <cell r="C742" t="str">
            <v>Itoprid</v>
          </cell>
          <cell r="D742" t="str">
            <v>Uống</v>
          </cell>
        </row>
        <row r="743">
          <cell r="B743">
            <v>736</v>
          </cell>
          <cell r="C743" t="str">
            <v>L-Ornithin - L- aspartat</v>
          </cell>
          <cell r="D743" t="str">
            <v>Tiêm/truyền</v>
          </cell>
          <cell r="E743" t="str">
            <v>Quỹ bảo hểm y tế thanh toán điều trị bệnh não do gan từ giai đoạn 2 trở lên theo hệ thống phân loại West Haven</v>
          </cell>
          <cell r="F743" t="str">
            <v>Quỹ bảo hểm y tế thanh toán điều trị bệnh não do gan từ giai đoạn 2 trở lên theo hệ thống phân loại West Haven</v>
          </cell>
        </row>
        <row r="744">
          <cell r="B744">
            <v>737</v>
          </cell>
          <cell r="C744" t="str">
            <v>Mesalazin (mesalamin)</v>
          </cell>
          <cell r="D744" t="str">
            <v>Uống</v>
          </cell>
        </row>
        <row r="745">
          <cell r="B745">
            <v>738</v>
          </cell>
          <cell r="C745" t="str">
            <v>Octreotid</v>
          </cell>
          <cell r="D745" t="str">
            <v>Tiêm/truyền</v>
          </cell>
        </row>
        <row r="746">
          <cell r="B746">
            <v>739</v>
          </cell>
          <cell r="C746" t="str">
            <v>Simethicon</v>
          </cell>
          <cell r="D746" t="str">
            <v>Uống</v>
          </cell>
        </row>
        <row r="747">
          <cell r="B747">
            <v>740</v>
          </cell>
          <cell r="C747" t="str">
            <v>Silymarin</v>
          </cell>
          <cell r="D747" t="str">
            <v>Uống</v>
          </cell>
        </row>
        <row r="748">
          <cell r="B748">
            <v>741</v>
          </cell>
          <cell r="C748" t="str">
            <v xml:space="preserve">Somatostatin </v>
          </cell>
          <cell r="D748" t="str">
            <v xml:space="preserve">Tiêm truyền </v>
          </cell>
        </row>
        <row r="749">
          <cell r="B749">
            <v>742</v>
          </cell>
          <cell r="C749" t="str">
            <v>Terlipressin</v>
          </cell>
          <cell r="D749" t="str">
            <v>Tiêm/truyền</v>
          </cell>
        </row>
        <row r="750">
          <cell r="B750">
            <v>743</v>
          </cell>
          <cell r="C750" t="str">
            <v xml:space="preserve">Trimebutin maleat </v>
          </cell>
          <cell r="D750" t="str">
            <v>Uống</v>
          </cell>
        </row>
        <row r="751">
          <cell r="B751">
            <v>744</v>
          </cell>
          <cell r="C751" t="str">
            <v>Ursodeoxycholic acid</v>
          </cell>
          <cell r="D751" t="str">
            <v>Uống</v>
          </cell>
        </row>
        <row r="752">
          <cell r="B752">
            <v>745</v>
          </cell>
          <cell r="C752" t="str">
            <v>Otilonium bromide</v>
          </cell>
          <cell r="D752" t="str">
            <v>Uống</v>
          </cell>
        </row>
        <row r="753">
          <cell r="B753">
            <v>746</v>
          </cell>
          <cell r="C753" t="str">
            <v xml:space="preserve">Beclometason (dipropionat) </v>
          </cell>
          <cell r="D753" t="str">
            <v>Xịt mũi,  
xịt họng</v>
          </cell>
        </row>
        <row r="754">
          <cell r="B754">
            <v>747</v>
          </cell>
          <cell r="C754" t="str">
            <v xml:space="preserve">Betamethason </v>
          </cell>
          <cell r="D754" t="str">
            <v>Tiêm, uống, nhỏ mắt,  
nhỏ tai,  
nhỏ mũi,  
dùng ngoài</v>
          </cell>
        </row>
        <row r="755">
          <cell r="B755">
            <v>748</v>
          </cell>
          <cell r="C755" t="str">
            <v xml:space="preserve">Danazol </v>
          </cell>
          <cell r="D755" t="str">
            <v xml:space="preserve">Uống </v>
          </cell>
        </row>
        <row r="756">
          <cell r="B756">
            <v>749</v>
          </cell>
          <cell r="C756" t="str">
            <v>Dexamethason</v>
          </cell>
          <cell r="D756" t="str">
            <v>Tiêm/truyền</v>
          </cell>
          <cell r="E756" t="str">
            <v>Quỹ bảo hiểm y tế không thanh toán trường hợp tiêm trong dịch kính, tiêm nội nhãn.</v>
          </cell>
          <cell r="F756" t="str">
            <v>Quỹ bảo hiểm y tế không thanh toán trường hợp tiêm trong dịch kính, tiêm nội nhãn.</v>
          </cell>
        </row>
        <row r="757">
          <cell r="B757">
            <v>749</v>
          </cell>
          <cell r="C757" t="str">
            <v>Dexamethason</v>
          </cell>
          <cell r="D757" t="str">
            <v>Uống</v>
          </cell>
        </row>
        <row r="758">
          <cell r="B758">
            <v>750</v>
          </cell>
          <cell r="C758" t="str">
            <v>Dexamethason phosphat +  neomycin</v>
          </cell>
          <cell r="D758" t="str">
            <v>Nhỏ mắt,  
nhỏ mũi</v>
          </cell>
        </row>
        <row r="759">
          <cell r="B759">
            <v>751</v>
          </cell>
          <cell r="C759" t="str">
            <v>Betamethasone +  
dexchlorpheniramin</v>
          </cell>
          <cell r="D759" t="str">
            <v xml:space="preserve">Uống </v>
          </cell>
        </row>
        <row r="760">
          <cell r="B760">
            <v>752</v>
          </cell>
          <cell r="C760" t="str">
            <v xml:space="preserve">Fludrocortison acetat </v>
          </cell>
          <cell r="D760" t="str">
            <v>Uống</v>
          </cell>
        </row>
        <row r="761">
          <cell r="B761">
            <v>753</v>
          </cell>
          <cell r="C761" t="str">
            <v xml:space="preserve">Fluocinolon acetonid </v>
          </cell>
          <cell r="D761" t="str">
            <v>Dùng ngoài</v>
          </cell>
        </row>
        <row r="762">
          <cell r="B762">
            <v>754</v>
          </cell>
          <cell r="C762" t="str">
            <v>Hydrocortison</v>
          </cell>
          <cell r="D762" t="str">
            <v>Tiêm/truyền</v>
          </cell>
        </row>
        <row r="763">
          <cell r="B763">
            <v>755</v>
          </cell>
          <cell r="C763" t="str">
            <v>Methyl prednisolon</v>
          </cell>
          <cell r="D763" t="str">
            <v>Uống, tiêm</v>
          </cell>
        </row>
        <row r="764">
          <cell r="B764">
            <v>756</v>
          </cell>
          <cell r="C764" t="str">
            <v>Prednisolon acetat (natri phosphate)</v>
          </cell>
          <cell r="D764" t="str">
            <v>Nhỏ mắt, uống</v>
          </cell>
        </row>
        <row r="765">
          <cell r="B765">
            <v>757</v>
          </cell>
          <cell r="C765" t="str">
            <v xml:space="preserve">Prednison </v>
          </cell>
          <cell r="D765" t="str">
            <v>Uống</v>
          </cell>
        </row>
        <row r="766">
          <cell r="B766">
            <v>758</v>
          </cell>
          <cell r="C766" t="str">
            <v xml:space="preserve">Triamcinolon acetonid </v>
          </cell>
          <cell r="D766" t="str">
            <v>Tiêm, dùng ngoài</v>
          </cell>
        </row>
        <row r="767">
          <cell r="B767">
            <v>759</v>
          </cell>
          <cell r="C767" t="str">
            <v xml:space="preserve">Triamcinolon </v>
          </cell>
          <cell r="D767" t="str">
            <v>Uống</v>
          </cell>
        </row>
        <row r="768">
          <cell r="B768">
            <v>760</v>
          </cell>
          <cell r="C768" t="str">
            <v xml:space="preserve">Triamcinolon + econazol </v>
          </cell>
          <cell r="D768" t="str">
            <v>Dùng ngoài</v>
          </cell>
        </row>
        <row r="769">
          <cell r="B769">
            <v>761</v>
          </cell>
          <cell r="C769" t="str">
            <v xml:space="preserve">Cyproteron acetat </v>
          </cell>
          <cell r="D769" t="str">
            <v>Uống</v>
          </cell>
        </row>
        <row r="770">
          <cell r="B770">
            <v>762</v>
          </cell>
          <cell r="C770" t="str">
            <v xml:space="preserve">Somatropin </v>
          </cell>
          <cell r="D770" t="str">
            <v>Tiêm</v>
          </cell>
          <cell r="E770" t="str">
            <v>Quỹ bảo hiểm y tế thanh  toán điều trị thiếu hụt  
hormon tăng trưởng, trẻ em  sinh ra nhỏ hơn so với tuổi  thai, hội chứng Turner,  chậm tăng trưởng do suy  thận mãn và hội chứng  Prader-Willi. Đối với trẻ em  dưới 16 tuổi thanh toán  70%; các đối tượng còn lại  thanh toán 50%.</v>
          </cell>
          <cell r="F770" t="str">
            <v>Quỹ bảo hiểm y tế thanh  toán điều trị thiếu hụt  
hormon tăng trưởng, trẻ em  sinh ra nhỏ hơn so với tuổi  thai, hội chứng Turner,  chậm tăng trưởng do suy  thận mãn và hội chứng  Prader-Willi. Đối với trẻ em  dưới 16 tuổi thanh toán  70%; các đối tượng còn lại  thanh toán 50%.</v>
          </cell>
        </row>
        <row r="771">
          <cell r="B771">
            <v>763</v>
          </cell>
          <cell r="C771" t="str">
            <v>Dydrogesteron</v>
          </cell>
          <cell r="D771" t="str">
            <v>Uống</v>
          </cell>
        </row>
        <row r="772">
          <cell r="B772">
            <v>764</v>
          </cell>
          <cell r="C772" t="str">
            <v xml:space="preserve">Estradiol valerate </v>
          </cell>
          <cell r="D772" t="str">
            <v>Uống, tiêm</v>
          </cell>
        </row>
        <row r="773">
          <cell r="B773">
            <v>765</v>
          </cell>
          <cell r="C773" t="str">
            <v>Estriol</v>
          </cell>
          <cell r="D773" t="str">
            <v>Đặt âm đạo</v>
          </cell>
        </row>
        <row r="774">
          <cell r="B774">
            <v>766</v>
          </cell>
          <cell r="C774" t="str">
            <v xml:space="preserve">Estrogen + norgestrel </v>
          </cell>
          <cell r="D774" t="str">
            <v>Uống</v>
          </cell>
        </row>
        <row r="775">
          <cell r="B775">
            <v>767</v>
          </cell>
          <cell r="C775" t="str">
            <v xml:space="preserve">Ethinyl estradiol </v>
          </cell>
          <cell r="D775" t="str">
            <v>Uống</v>
          </cell>
        </row>
        <row r="776">
          <cell r="B776">
            <v>768</v>
          </cell>
          <cell r="C776" t="str">
            <v>Ethinyl estradiol +  
cyproterone acetate</v>
          </cell>
          <cell r="D776" t="str">
            <v>Uống</v>
          </cell>
        </row>
        <row r="777">
          <cell r="B777">
            <v>769</v>
          </cell>
          <cell r="C777" t="str">
            <v>Lynestrenol</v>
          </cell>
          <cell r="D777" t="str">
            <v>Uống</v>
          </cell>
        </row>
        <row r="778">
          <cell r="B778">
            <v>770</v>
          </cell>
          <cell r="C778" t="str">
            <v xml:space="preserve">Nandrolon decanoat </v>
          </cell>
          <cell r="D778" t="str">
            <v>Tiêm</v>
          </cell>
        </row>
        <row r="779">
          <cell r="B779">
            <v>771</v>
          </cell>
          <cell r="C779" t="str">
            <v xml:space="preserve">Norethisteron </v>
          </cell>
          <cell r="D779" t="str">
            <v>Uống</v>
          </cell>
        </row>
        <row r="780">
          <cell r="B780">
            <v>772</v>
          </cell>
          <cell r="C780" t="str">
            <v xml:space="preserve">Nomegestrol acetat </v>
          </cell>
          <cell r="D780" t="str">
            <v>Uống</v>
          </cell>
        </row>
        <row r="781">
          <cell r="B781">
            <v>773</v>
          </cell>
          <cell r="C781" t="str">
            <v xml:space="preserve">Promestrien </v>
          </cell>
          <cell r="D781" t="str">
            <v>Dùng ngoài, đặt âm đạo</v>
          </cell>
        </row>
        <row r="782">
          <cell r="B782">
            <v>774</v>
          </cell>
          <cell r="C782" t="str">
            <v>Progesteron</v>
          </cell>
          <cell r="D782" t="str">
            <v>Đặt âm đạo, dùng ngoài, uống</v>
          </cell>
        </row>
        <row r="783">
          <cell r="B783">
            <v>775</v>
          </cell>
          <cell r="C783" t="str">
            <v>Raloxifen</v>
          </cell>
          <cell r="D783" t="str">
            <v>Uống</v>
          </cell>
        </row>
        <row r="784">
          <cell r="B784">
            <v>776</v>
          </cell>
          <cell r="C784" t="str">
            <v>Testosteron 
(acetat, propionat,  
undecanoat)</v>
          </cell>
          <cell r="D784" t="str">
            <v>Tiêm, uống</v>
          </cell>
        </row>
        <row r="785">
          <cell r="B785">
            <v>777</v>
          </cell>
          <cell r="C785" t="str">
            <v>Acarbose</v>
          </cell>
          <cell r="D785" t="str">
            <v>Uống</v>
          </cell>
        </row>
        <row r="786">
          <cell r="B786">
            <v>778</v>
          </cell>
          <cell r="C786" t="str">
            <v>Dapagliflozin</v>
          </cell>
          <cell r="D786" t="str">
            <v>Uống</v>
          </cell>
          <cell r="E786" t="str">
            <v>Quỹ bảo hiểm y tế thanh toán 70%.</v>
          </cell>
          <cell r="F786" t="str">
            <v>Quỹ bảo hiểm y tế thanh toán 70%.</v>
          </cell>
        </row>
        <row r="787">
          <cell r="B787">
            <v>779</v>
          </cell>
          <cell r="C787" t="str">
            <v>Empagliflozin</v>
          </cell>
          <cell r="D787" t="str">
            <v>Uống</v>
          </cell>
          <cell r="E787" t="str">
            <v>Quỹ bảo hiểm y tế thanh toán 70%.</v>
          </cell>
          <cell r="F787" t="str">
            <v>Quỹ bảo hiểm y tế thanh toán 70%.</v>
          </cell>
        </row>
        <row r="788">
          <cell r="B788">
            <v>780</v>
          </cell>
          <cell r="C788" t="str">
            <v>Glibenclamid + metformin</v>
          </cell>
          <cell r="D788" t="str">
            <v>Uống</v>
          </cell>
        </row>
        <row r="789">
          <cell r="B789">
            <v>781</v>
          </cell>
          <cell r="C789" t="str">
            <v>Gliclazid</v>
          </cell>
          <cell r="D789" t="str">
            <v>Uống</v>
          </cell>
        </row>
        <row r="790">
          <cell r="B790">
            <v>782</v>
          </cell>
          <cell r="C790" t="str">
            <v>Gliclazid + metformin</v>
          </cell>
          <cell r="D790" t="str">
            <v>Uống</v>
          </cell>
        </row>
        <row r="791">
          <cell r="B791">
            <v>783</v>
          </cell>
          <cell r="C791" t="str">
            <v xml:space="preserve">Glimepirid </v>
          </cell>
          <cell r="D791" t="str">
            <v>Uống</v>
          </cell>
        </row>
        <row r="792">
          <cell r="B792">
            <v>784</v>
          </cell>
          <cell r="C792" t="str">
            <v>Glimepirid + Metformin</v>
          </cell>
          <cell r="D792" t="str">
            <v>Uống</v>
          </cell>
        </row>
        <row r="793">
          <cell r="B793">
            <v>785</v>
          </cell>
          <cell r="C793" t="str">
            <v>Glipizid</v>
          </cell>
          <cell r="D793" t="str">
            <v>Uống</v>
          </cell>
        </row>
        <row r="794">
          <cell r="B794">
            <v>786</v>
          </cell>
          <cell r="C794" t="str">
            <v>Insulin analog tác dụng nhanh, ngắn (dạng Aspart)</v>
          </cell>
          <cell r="D794" t="str">
            <v>Tiêm/truyền</v>
          </cell>
        </row>
        <row r="795">
          <cell r="B795">
            <v>786</v>
          </cell>
          <cell r="C795" t="str">
            <v>Insulin analog tác dụng nhanh, ngắn (dạng Lispro)</v>
          </cell>
          <cell r="D795" t="str">
            <v>Tiêm/truyền</v>
          </cell>
        </row>
        <row r="796">
          <cell r="B796">
            <v>786</v>
          </cell>
          <cell r="C796" t="str">
            <v>Insulin người tác dụng nhanh, ngắn (dạng Glulisine)</v>
          </cell>
          <cell r="D796" t="str">
            <v>Tiêm/truyền</v>
          </cell>
        </row>
        <row r="797">
          <cell r="B797">
            <v>787</v>
          </cell>
          <cell r="C797" t="str">
            <v>Insulin analog tác dụng chậm, kéo dài (Glargine)</v>
          </cell>
          <cell r="D797" t="str">
            <v>Tiêm/truyền</v>
          </cell>
        </row>
        <row r="798">
          <cell r="B798">
            <v>787</v>
          </cell>
          <cell r="C798" t="str">
            <v>Insulin Detemir (rDNA)</v>
          </cell>
          <cell r="D798" t="str">
            <v>Tiêm/truyền</v>
          </cell>
        </row>
        <row r="799">
          <cell r="B799">
            <v>787</v>
          </cell>
          <cell r="C799" t="str">
            <v>Insulin Degludec</v>
          </cell>
          <cell r="D799" t="str">
            <v>Tiêm/truyền</v>
          </cell>
        </row>
        <row r="800">
          <cell r="B800">
            <v>788</v>
          </cell>
          <cell r="C800" t="str">
            <v>Insulin analog trộn, hỗn hợp</v>
          </cell>
          <cell r="D800" t="str">
            <v>Tiêm/truyền</v>
          </cell>
          <cell r="E800" t="str">
            <v>Quỹ bảo hiểm y tế thanh toán 50% đối với dạng trộn. hỗn hợp giữa insulin Degludec và insulin Aspart; thanh toán 100% đối với các dạng còn lại.</v>
          </cell>
          <cell r="F800" t="str">
            <v>Quỹ bảo hiểm y tế thanh toán 50% đối với dạng trộn. hỗn hợp giữa insulin Degludec và insulin Aspart; thanh toán 100% đối với các dạng còn lại.</v>
          </cell>
        </row>
        <row r="801">
          <cell r="B801">
            <v>789</v>
          </cell>
          <cell r="C801" t="str">
            <v>Insulin người tác dụng nhanh, ngắn</v>
          </cell>
          <cell r="D801" t="str">
            <v>Tiêm/truyền</v>
          </cell>
        </row>
        <row r="802">
          <cell r="B802">
            <v>790</v>
          </cell>
          <cell r="C802" t="str">
            <v>Insulin người tác dụng trung bình, trung gian</v>
          </cell>
          <cell r="D802" t="str">
            <v>Tiêm/truyền</v>
          </cell>
        </row>
        <row r="803">
          <cell r="B803">
            <v>791</v>
          </cell>
          <cell r="C803" t="str">
            <v xml:space="preserve">Insulin người trộn, hỗn hợp </v>
          </cell>
          <cell r="D803" t="str">
            <v>Tiêm/truyền</v>
          </cell>
        </row>
        <row r="804">
          <cell r="B804">
            <v>792</v>
          </cell>
          <cell r="C804" t="str">
            <v>Linagliptin</v>
          </cell>
          <cell r="D804" t="str">
            <v>Uống</v>
          </cell>
        </row>
        <row r="805">
          <cell r="B805">
            <v>793</v>
          </cell>
          <cell r="C805" t="str">
            <v>Linagliptin + metformin</v>
          </cell>
          <cell r="D805" t="str">
            <v>Uống</v>
          </cell>
        </row>
        <row r="806">
          <cell r="B806">
            <v>794</v>
          </cell>
          <cell r="C806" t="str">
            <v>Liraglutide</v>
          </cell>
          <cell r="D806" t="str">
            <v>Tiêm/truyền</v>
          </cell>
          <cell r="E806" t="str">
            <v>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v>
          </cell>
          <cell r="F806" t="str">
            <v>Quỹ bảo hiểm y tế thanh toán 30% cho bệnh nhân đái tháo đường típ 2 đáp ứng đồng thời các tiêu chí sau:
'- Trên 40 tuổi, BMI &gt; 23, mắc đái tháo đường típ 2, có bệnh lý tim mạch hoặc tăng huyết áp;
'- Không kiểm soát đường huyết (HbA1C&gt;9) sau thời gain 3 tháng;
'- Suy thận nồng độ CrCl &lt; 59 ml/phút.</v>
          </cell>
        </row>
        <row r="807">
          <cell r="B807">
            <v>795</v>
          </cell>
          <cell r="C807" t="str">
            <v>Metformin</v>
          </cell>
          <cell r="D807" t="str">
            <v>Uống</v>
          </cell>
        </row>
        <row r="808">
          <cell r="B808">
            <v>796</v>
          </cell>
          <cell r="C808" t="str">
            <v xml:space="preserve">Repaglinid </v>
          </cell>
          <cell r="D808" t="str">
            <v>Uống</v>
          </cell>
        </row>
        <row r="809">
          <cell r="B809">
            <v>797</v>
          </cell>
          <cell r="C809" t="str">
            <v>Saxagliptin</v>
          </cell>
          <cell r="D809" t="str">
            <v>Uống</v>
          </cell>
        </row>
        <row r="810">
          <cell r="B810">
            <v>798</v>
          </cell>
          <cell r="C810" t="str">
            <v>Saxagliptin + metformin</v>
          </cell>
          <cell r="D810" t="str">
            <v>Uống</v>
          </cell>
        </row>
        <row r="811">
          <cell r="B811">
            <v>799</v>
          </cell>
          <cell r="C811" t="str">
            <v>Sitagliptin</v>
          </cell>
          <cell r="D811" t="str">
            <v>Uống</v>
          </cell>
        </row>
        <row r="812">
          <cell r="B812">
            <v>800</v>
          </cell>
          <cell r="C812" t="str">
            <v>Sitagliptin + metformin</v>
          </cell>
          <cell r="D812" t="str">
            <v>Uống</v>
          </cell>
        </row>
        <row r="813">
          <cell r="B813">
            <v>801</v>
          </cell>
          <cell r="C813" t="str">
            <v>Vildagliptin</v>
          </cell>
          <cell r="D813" t="str">
            <v>Uống</v>
          </cell>
        </row>
        <row r="814">
          <cell r="B814">
            <v>802</v>
          </cell>
          <cell r="C814" t="str">
            <v>Vildagliptin + metformin</v>
          </cell>
          <cell r="D814" t="str">
            <v>Uống</v>
          </cell>
        </row>
        <row r="815">
          <cell r="B815">
            <v>803</v>
          </cell>
          <cell r="C815" t="str">
            <v xml:space="preserve">Carbimazol </v>
          </cell>
          <cell r="D815" t="str">
            <v>Uống</v>
          </cell>
        </row>
        <row r="816">
          <cell r="B816">
            <v>804</v>
          </cell>
          <cell r="C816" t="str">
            <v>Levothyroxin (muối natri)</v>
          </cell>
          <cell r="D816" t="str">
            <v>Uống</v>
          </cell>
        </row>
        <row r="817">
          <cell r="B817">
            <v>805</v>
          </cell>
          <cell r="C817" t="str">
            <v>Propylthiouracil (PTU)</v>
          </cell>
          <cell r="D817" t="str">
            <v>Uống</v>
          </cell>
        </row>
        <row r="818">
          <cell r="B818">
            <v>806</v>
          </cell>
          <cell r="C818" t="str">
            <v>Thiamazol</v>
          </cell>
          <cell r="D818" t="str">
            <v>Uống</v>
          </cell>
        </row>
        <row r="819">
          <cell r="B819">
            <v>807</v>
          </cell>
          <cell r="C819" t="str">
            <v>Desmopressin</v>
          </cell>
          <cell r="D819" t="str">
            <v>Uống</v>
          </cell>
        </row>
        <row r="820">
          <cell r="B820">
            <v>808</v>
          </cell>
          <cell r="C820" t="str">
            <v xml:space="preserve">Vasopressin </v>
          </cell>
          <cell r="D820" t="str">
            <v>Tiêm, uống</v>
          </cell>
        </row>
        <row r="821">
          <cell r="B821">
            <v>809</v>
          </cell>
          <cell r="C821" t="str">
            <v xml:space="preserve">Alglucosidase alfa </v>
          </cell>
          <cell r="D821" t="str">
            <v xml:space="preserve">Tiêm truyền </v>
          </cell>
          <cell r="E821" t="str">
            <v>Quỹ bảo hiểm y tế thanh  toán 30%.</v>
          </cell>
          <cell r="F821" t="str">
            <v>Quỹ bảo hiểm y tế thanh  toán 30%.</v>
          </cell>
        </row>
        <row r="822">
          <cell r="B822">
            <v>810</v>
          </cell>
          <cell r="C822" t="str">
            <v>Immune globulin</v>
          </cell>
          <cell r="D822" t="str">
            <v>Tiêm/truyền</v>
          </cell>
          <cell r="E822" t="str">
            <v>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v>
          </cell>
          <cell r="F822" t="str">
            <v>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 điều trị Hội chứng viêm đa hệ thống liên quan COVID-19 ở trẻ em của Bộ Y tế; điều trị hội chứng giảm tiểu cầu, huyết khối sau tiêm vắc xin COVID-19 theo hướng dẫn chẩn đoán và điều trị hội chứng giảm tiểu cầu, huyết khối sau tiêm vắc xin COVID-19 của Bộ Y tế.</v>
          </cell>
        </row>
        <row r="823">
          <cell r="B823">
            <v>811</v>
          </cell>
          <cell r="C823" t="str">
            <v>Huyết thanh kháng bạch hầu</v>
          </cell>
          <cell r="D823" t="str">
            <v>Tiêm/truyền</v>
          </cell>
        </row>
        <row r="824">
          <cell r="B824">
            <v>812</v>
          </cell>
          <cell r="C824" t="str">
            <v xml:space="preserve">Huyết thanh kháng dại </v>
          </cell>
          <cell r="D824" t="str">
            <v>Tiêm</v>
          </cell>
        </row>
        <row r="825">
          <cell r="B825">
            <v>813</v>
          </cell>
          <cell r="C825" t="str">
            <v>Huyết thanh kháng nọc rắn</v>
          </cell>
          <cell r="D825" t="str">
            <v>Tiêm/truyền</v>
          </cell>
        </row>
        <row r="826">
          <cell r="B826">
            <v>814</v>
          </cell>
          <cell r="C826" t="str">
            <v>Huyết thanh kháng uốn ván</v>
          </cell>
          <cell r="D826" t="str">
            <v>Tiêm/truyền</v>
          </cell>
        </row>
        <row r="827">
          <cell r="B827">
            <v>815</v>
          </cell>
          <cell r="C827" t="str">
            <v>Baclofen</v>
          </cell>
          <cell r="D827" t="str">
            <v>Uống</v>
          </cell>
        </row>
        <row r="828">
          <cell r="B828">
            <v>816</v>
          </cell>
          <cell r="C828" t="str">
            <v>Botulinum toxin (Clostridium botulinum type A toxin - Haemagglutinin complex)</v>
          </cell>
          <cell r="D828" t="str">
            <v>Tiêm/truyền</v>
          </cell>
        </row>
        <row r="829">
          <cell r="B829">
            <v>817</v>
          </cell>
          <cell r="C829" t="str">
            <v>Eperison</v>
          </cell>
          <cell r="D829" t="str">
            <v>Uống</v>
          </cell>
        </row>
        <row r="830">
          <cell r="B830">
            <v>818</v>
          </cell>
          <cell r="C830" t="str">
            <v xml:space="preserve">Mephenesin </v>
          </cell>
          <cell r="D830" t="str">
            <v>Uống</v>
          </cell>
        </row>
        <row r="831">
          <cell r="B831">
            <v>819</v>
          </cell>
          <cell r="C831" t="str">
            <v>Pyridostigmin bromid</v>
          </cell>
          <cell r="D831" t="str">
            <v>Uống</v>
          </cell>
        </row>
        <row r="832">
          <cell r="B832">
            <v>820</v>
          </cell>
          <cell r="C832" t="str">
            <v xml:space="preserve">Rivastigmine </v>
          </cell>
          <cell r="D832" t="str">
            <v>Uống, dán ngoài da</v>
          </cell>
        </row>
        <row r="833">
          <cell r="B833">
            <v>821</v>
          </cell>
          <cell r="C833" t="str">
            <v xml:space="preserve">Tizanidin hydroclorid </v>
          </cell>
          <cell r="D833" t="str">
            <v>Uống</v>
          </cell>
        </row>
        <row r="834">
          <cell r="B834">
            <v>822</v>
          </cell>
          <cell r="C834" t="str">
            <v xml:space="preserve">Thiocolchicosid </v>
          </cell>
          <cell r="D834" t="str">
            <v>Tiêm, uống</v>
          </cell>
        </row>
        <row r="835">
          <cell r="B835">
            <v>823</v>
          </cell>
          <cell r="C835" t="str">
            <v xml:space="preserve">Tolperison </v>
          </cell>
          <cell r="D835" t="str">
            <v>Uống</v>
          </cell>
          <cell r="E835" t="str">
            <v>Quỹ bảo hiểm y tế thanh  toán điều trị co cứng cơ sau  đột quỵ.</v>
          </cell>
          <cell r="F835" t="str">
            <v>Quỹ bảo hiểm y tế thanh  toán điều trị co cứng cơ sau  đột quỵ.</v>
          </cell>
        </row>
        <row r="836">
          <cell r="B836">
            <v>824</v>
          </cell>
          <cell r="C836" t="str">
            <v>Acetazolamid</v>
          </cell>
          <cell r="D836" t="str">
            <v>Uống</v>
          </cell>
        </row>
        <row r="837">
          <cell r="B837">
            <v>825</v>
          </cell>
          <cell r="C837" t="str">
            <v xml:space="preserve">Atropin sulfat </v>
          </cell>
          <cell r="D837" t="str">
            <v>Nhỏ mắt</v>
          </cell>
        </row>
        <row r="838">
          <cell r="B838">
            <v>826</v>
          </cell>
          <cell r="C838" t="str">
            <v xml:space="preserve">Besifloxacin </v>
          </cell>
          <cell r="D838" t="str">
            <v>Nhỏ mắt</v>
          </cell>
          <cell r="E838" t="str">
            <v>Quỹ bảo hiểm y tế thanh  toán điều trị nhiễm khuẩn do  tụ cầu vàng trong trường hợp  đã kháng kháng sinh khác;  sử dụng tại bệnh viện hạng đặc biệt, hạng I và bệnh viện  chuyên khoa mắt hạng II.</v>
          </cell>
          <cell r="F838" t="str">
            <v>Quỹ bảo hiểm y tế thanh  toán điều trị nhiễm khuẩn do  tụ cầu vàng trong trường hợp  đã kháng kháng sinh khác;  sử dụng tại bệnh viện hạng đặc biệt, hạng I và bệnh viện  chuyên khoa mắt hạng II.</v>
          </cell>
        </row>
        <row r="839">
          <cell r="B839">
            <v>827</v>
          </cell>
          <cell r="C839" t="str">
            <v xml:space="preserve">Betaxolol </v>
          </cell>
          <cell r="D839" t="str">
            <v>Nhỏ mắt</v>
          </cell>
        </row>
        <row r="840">
          <cell r="B840">
            <v>828</v>
          </cell>
          <cell r="C840" t="str">
            <v>Bimatoprost</v>
          </cell>
          <cell r="D840" t="str">
            <v>Nhỏ mắt</v>
          </cell>
          <cell r="E840" t="str">
            <v>Quỹ bảo hiểm y tế thanh toán điều trị tại bệnh viện hạng đặc biệt, hạng I, II và bệnh viện chuyên khoa mắt hạng III.</v>
          </cell>
          <cell r="F840" t="str">
            <v>Quỹ bảo hiểm y tế thanh toán điều trị tại bệnh viện hạng đặc biệt, hạng I, II và bệnh viện chuyên khoa mắt hạng III.</v>
          </cell>
        </row>
        <row r="841">
          <cell r="B841">
            <v>829</v>
          </cell>
          <cell r="C841" t="str">
            <v xml:space="preserve">Bimatoprost + timolol </v>
          </cell>
          <cell r="D841" t="str">
            <v>Nhỏ mắt</v>
          </cell>
        </row>
        <row r="842">
          <cell r="B842">
            <v>830</v>
          </cell>
          <cell r="C842" t="str">
            <v>Brimonidin tartrat</v>
          </cell>
          <cell r="D842" t="str">
            <v>Nhỏ mắt</v>
          </cell>
        </row>
        <row r="843">
          <cell r="B843">
            <v>831</v>
          </cell>
          <cell r="C843" t="str">
            <v>Brimonidin tartrate; Timolol</v>
          </cell>
          <cell r="D843" t="str">
            <v>Nhỏ mắt</v>
          </cell>
        </row>
        <row r="844">
          <cell r="B844">
            <v>832</v>
          </cell>
          <cell r="C844" t="str">
            <v>Brinzolamid</v>
          </cell>
          <cell r="D844" t="str">
            <v>Nhỏ mắt</v>
          </cell>
        </row>
        <row r="845">
          <cell r="B845">
            <v>833</v>
          </cell>
          <cell r="C845" t="str">
            <v>Brinzolamid + Timolol</v>
          </cell>
          <cell r="D845" t="str">
            <v>Nhỏ mắt</v>
          </cell>
        </row>
        <row r="846">
          <cell r="B846">
            <v>834</v>
          </cell>
          <cell r="C846" t="str">
            <v xml:space="preserve">Bromfenac </v>
          </cell>
          <cell r="D846" t="str">
            <v>Nhỏ mắt</v>
          </cell>
          <cell r="E846" t="str">
            <v>Quỹ bảo hiểm y tế thanh  toán điều trị viêm sau phẫu  thuật đục thủy tinh thể; sử  dụng tại bệnh viện hạng đặc  biệt, hạng I, II và bệnh viện  chuyên khoa mắt hạng III.</v>
          </cell>
          <cell r="F846" t="str">
            <v>Quỹ bảo hiểm y tế thanh  toán điều trị viêm sau phẫu  thuật đục thủy tinh thể; sử  dụng tại bệnh viện hạng đặc  biệt, hạng I, II và bệnh viện  chuyên khoa mắt hạng III.</v>
          </cell>
        </row>
        <row r="847">
          <cell r="B847">
            <v>835</v>
          </cell>
          <cell r="C847" t="str">
            <v>Carbomer</v>
          </cell>
          <cell r="D847" t="str">
            <v>Nhỏ mắt</v>
          </cell>
        </row>
        <row r="848">
          <cell r="B848">
            <v>836</v>
          </cell>
          <cell r="C848" t="str">
            <v>Cyclosporin</v>
          </cell>
          <cell r="D848" t="str">
            <v>Nhỏ mắt</v>
          </cell>
        </row>
        <row r="849">
          <cell r="B849">
            <v>837</v>
          </cell>
          <cell r="C849" t="str">
            <v xml:space="preserve">Dexamethason + framycetin </v>
          </cell>
          <cell r="D849" t="str">
            <v>Nhỏ mắt</v>
          </cell>
        </row>
        <row r="850">
          <cell r="B850">
            <v>838</v>
          </cell>
          <cell r="C850" t="str">
            <v xml:space="preserve">Dexpanthenol </v>
          </cell>
          <cell r="D850" t="str">
            <v>Nhỏ mắt</v>
          </cell>
        </row>
        <row r="851">
          <cell r="B851">
            <v>839</v>
          </cell>
          <cell r="C851" t="str">
            <v>Dinatri inosin  
monophosphat</v>
          </cell>
          <cell r="D851" t="str">
            <v>Nhỏ mắt</v>
          </cell>
        </row>
        <row r="852">
          <cell r="B852">
            <v>840</v>
          </cell>
          <cell r="C852" t="str">
            <v>Fluorometholon</v>
          </cell>
          <cell r="D852" t="str">
            <v>Nhỏ mắt</v>
          </cell>
        </row>
        <row r="853">
          <cell r="B853">
            <v>841</v>
          </cell>
          <cell r="C853" t="str">
            <v xml:space="preserve">Glycerin </v>
          </cell>
          <cell r="D853" t="str">
            <v>Nhỏ mắt</v>
          </cell>
        </row>
        <row r="854">
          <cell r="B854">
            <v>842</v>
          </cell>
          <cell r="C854" t="str">
            <v xml:space="preserve">Hexamidine di-isetionat </v>
          </cell>
          <cell r="D854" t="str">
            <v>Nhỏ mắt</v>
          </cell>
        </row>
        <row r="855">
          <cell r="B855">
            <v>843</v>
          </cell>
          <cell r="C855" t="str">
            <v xml:space="preserve">Hyaluronidase </v>
          </cell>
          <cell r="D855" t="str">
            <v>Tiêm</v>
          </cell>
        </row>
        <row r="856">
          <cell r="B856">
            <v>844</v>
          </cell>
          <cell r="C856" t="str">
            <v xml:space="preserve">Hydroxypropylmethylcellulose </v>
          </cell>
          <cell r="D856" t="str">
            <v>Nhỏ mắt</v>
          </cell>
        </row>
        <row r="857">
          <cell r="B857">
            <v>845</v>
          </cell>
          <cell r="C857" t="str">
            <v xml:space="preserve">Indomethacin </v>
          </cell>
          <cell r="D857" t="str">
            <v>Nhỏ mắt</v>
          </cell>
        </row>
        <row r="858">
          <cell r="B858">
            <v>846</v>
          </cell>
          <cell r="C858" t="str">
            <v xml:space="preserve">Kali iodid + natri iodid </v>
          </cell>
          <cell r="D858" t="str">
            <v>Nhỏ mắt</v>
          </cell>
        </row>
        <row r="859">
          <cell r="B859">
            <v>847</v>
          </cell>
          <cell r="C859" t="str">
            <v xml:space="preserve">Latanoprost </v>
          </cell>
          <cell r="D859" t="str">
            <v>Nhỏ mắt</v>
          </cell>
        </row>
        <row r="860">
          <cell r="B860">
            <v>848</v>
          </cell>
          <cell r="C860" t="str">
            <v>Latanoprost +  
Timolol maleat</v>
          </cell>
          <cell r="D860" t="str">
            <v>Nhỏ mắt</v>
          </cell>
        </row>
        <row r="861">
          <cell r="B861">
            <v>849</v>
          </cell>
          <cell r="C861" t="str">
            <v xml:space="preserve">Loteprednol etabonat </v>
          </cell>
          <cell r="D861" t="str">
            <v>Nhỏ mắt</v>
          </cell>
        </row>
        <row r="862">
          <cell r="B862">
            <v>850</v>
          </cell>
          <cell r="C862" t="str">
            <v>Moxifloxacin +  
dexamethason</v>
          </cell>
          <cell r="D862" t="str">
            <v>Nhỏ mắt</v>
          </cell>
        </row>
        <row r="863">
          <cell r="B863">
            <v>851</v>
          </cell>
          <cell r="C863" t="str">
            <v xml:space="preserve">Natamycin </v>
          </cell>
          <cell r="D863" t="str">
            <v>Nhỏ mắt</v>
          </cell>
        </row>
        <row r="864">
          <cell r="B864">
            <v>852</v>
          </cell>
          <cell r="C864" t="str">
            <v>Natri carboxymethylcellulose (natri CMC)</v>
          </cell>
          <cell r="D864" t="str">
            <v>Nhỏ mắt</v>
          </cell>
        </row>
        <row r="865">
          <cell r="B865">
            <v>853</v>
          </cell>
          <cell r="C865" t="str">
            <v>Natri carboxymethylcellulose + Glycerin</v>
          </cell>
          <cell r="D865" t="str">
            <v>Nhỏ mắt</v>
          </cell>
        </row>
        <row r="866">
          <cell r="B866">
            <v>854</v>
          </cell>
          <cell r="C866" t="str">
            <v>Natri clorid</v>
          </cell>
          <cell r="D866" t="str">
            <v>Nhỏ mắt, xịt mũi</v>
          </cell>
        </row>
        <row r="867">
          <cell r="B867">
            <v>855</v>
          </cell>
          <cell r="C867" t="str">
            <v xml:space="preserve">Natri diquafosol </v>
          </cell>
          <cell r="D867" t="str">
            <v>Nhỏ mắt</v>
          </cell>
        </row>
        <row r="868">
          <cell r="B868">
            <v>856</v>
          </cell>
          <cell r="C868" t="str">
            <v>Natri hyaluronat</v>
          </cell>
          <cell r="D868" t="str">
            <v>Nhỏ mắt, tiêm</v>
          </cell>
        </row>
        <row r="869">
          <cell r="B869">
            <v>857</v>
          </cell>
          <cell r="C869" t="str">
            <v xml:space="preserve">Nepafenac </v>
          </cell>
          <cell r="D869" t="str">
            <v>Nhỏ mắt</v>
          </cell>
          <cell r="E869" t="str">
            <v>Quỹ bảo hiểm y tế thanh toán  điều trị viêm sau phẫu thuật  đục thủy tinh thể trên bệnh  nhân đái tháo đường; sử dụng  tại bệnh viện hạng đặc biệt,  hạng I, II và bệnh viện  
chuyên khoa mắt hạng III.</v>
          </cell>
          <cell r="F869" t="str">
            <v>Quỹ bảo hiểm y tế thanh toán  điều trị viêm sau phẫu thuật  đục thủy tinh thể trên bệnh  nhân đái tháo đường; sử dụng  tại bệnh viện hạng đặc biệt,  hạng I, II và bệnh viện  
chuyên khoa mắt hạng III.</v>
          </cell>
        </row>
        <row r="870">
          <cell r="B870">
            <v>858</v>
          </cell>
          <cell r="C870" t="str">
            <v xml:space="preserve">Olopatadin hydroclorid </v>
          </cell>
          <cell r="D870" t="str">
            <v>Nhỏ mắt</v>
          </cell>
        </row>
        <row r="871">
          <cell r="B871">
            <v>859</v>
          </cell>
          <cell r="C871" t="str">
            <v>Pemirolast Kali</v>
          </cell>
          <cell r="D871" t="str">
            <v>Nhỏ mắt</v>
          </cell>
        </row>
        <row r="872">
          <cell r="B872">
            <v>860</v>
          </cell>
          <cell r="C872" t="str">
            <v>Pilocarpin</v>
          </cell>
          <cell r="D872" t="str">
            <v>Nhỏ mắt</v>
          </cell>
        </row>
        <row r="873">
          <cell r="B873">
            <v>861</v>
          </cell>
          <cell r="C873" t="str">
            <v xml:space="preserve">Pirenoxin </v>
          </cell>
          <cell r="D873" t="str">
            <v>Nhỏ mắt</v>
          </cell>
        </row>
        <row r="874">
          <cell r="B874">
            <v>862</v>
          </cell>
          <cell r="C874" t="str">
            <v>Polyethylen glycol + 
propylen glycol</v>
          </cell>
          <cell r="D874" t="str">
            <v>Nhỏ mắt</v>
          </cell>
        </row>
        <row r="875">
          <cell r="B875">
            <v>863</v>
          </cell>
          <cell r="C875" t="str">
            <v>Ranibizumab</v>
          </cell>
          <cell r="D875" t="str">
            <v>Tiêm/truyền</v>
          </cell>
          <cell r="E875" t="str">
            <v>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v>
          </cell>
          <cell r="F875" t="str">
            <v>Quỹ bảo hiểm y tế thanh toán điều trị tại khoa mắt bệnh viện hạng đặc biệt; bệnh viện chuyên khoa mắt hạng I, II; bệnh viện Hữu Nghị, Thống Nhất và C Đà Nẵng đối với đối tượng theo Hướng dẫn số 52-HD-BTCTW ngày 02 tháng 12 năm 2005 của Ban Tổ chức Trung ương đăng ký khám bệnh, chữa bệnh bảo hiểm y tế ban đầu tại bệnh viện</v>
          </cell>
        </row>
        <row r="876">
          <cell r="B876">
            <v>864</v>
          </cell>
          <cell r="C876" t="str">
            <v xml:space="preserve">Tafluprost </v>
          </cell>
          <cell r="D876" t="str">
            <v>Nhỏ mắt</v>
          </cell>
        </row>
        <row r="877">
          <cell r="B877">
            <v>865</v>
          </cell>
          <cell r="C877" t="str">
            <v xml:space="preserve">Tetracain </v>
          </cell>
          <cell r="D877" t="str">
            <v>Nhỏ mắt</v>
          </cell>
        </row>
        <row r="878">
          <cell r="B878">
            <v>866</v>
          </cell>
          <cell r="C878" t="str">
            <v xml:space="preserve">Tetryzolin </v>
          </cell>
          <cell r="D878" t="str">
            <v>Nhỏ mắt, nhỏ mũi</v>
          </cell>
        </row>
        <row r="879">
          <cell r="B879">
            <v>867</v>
          </cell>
          <cell r="C879" t="str">
            <v xml:space="preserve">Timolol </v>
          </cell>
          <cell r="D879" t="str">
            <v>Nhỏ mắt</v>
          </cell>
        </row>
        <row r="880">
          <cell r="B880">
            <v>868</v>
          </cell>
          <cell r="C880" t="str">
            <v xml:space="preserve">Travoprost </v>
          </cell>
          <cell r="D880" t="str">
            <v>Nhỏ mắt</v>
          </cell>
        </row>
        <row r="881">
          <cell r="B881">
            <v>869</v>
          </cell>
          <cell r="C881" t="str">
            <v xml:space="preserve">Travoprost + timolol </v>
          </cell>
          <cell r="D881" t="str">
            <v>Nhỏ mắt</v>
          </cell>
        </row>
        <row r="882">
          <cell r="B882">
            <v>870</v>
          </cell>
          <cell r="C882" t="str">
            <v xml:space="preserve">Tropicamid </v>
          </cell>
          <cell r="D882" t="str">
            <v>Nhỏ mắt</v>
          </cell>
        </row>
        <row r="883">
          <cell r="B883">
            <v>871</v>
          </cell>
          <cell r="C883" t="str">
            <v>Tropicamide + phenylephrine hydroclorid</v>
          </cell>
          <cell r="D883" t="str">
            <v>Nhỏ mắt</v>
          </cell>
        </row>
        <row r="884">
          <cell r="B884">
            <v>872</v>
          </cell>
          <cell r="C884" t="str">
            <v>Betahistin</v>
          </cell>
          <cell r="D884" t="str">
            <v>Uống</v>
          </cell>
        </row>
        <row r="885">
          <cell r="B885">
            <v>873</v>
          </cell>
          <cell r="C885" t="str">
            <v>Cồn boric</v>
          </cell>
          <cell r="D885" t="str">
            <v>Nhỏ tai</v>
          </cell>
        </row>
        <row r="886">
          <cell r="B886">
            <v>874</v>
          </cell>
          <cell r="C886" t="str">
            <v>Fluticason furoat</v>
          </cell>
          <cell r="D886" t="str">
            <v>Hô hấp</v>
          </cell>
        </row>
        <row r="887">
          <cell r="B887">
            <v>875</v>
          </cell>
          <cell r="C887" t="str">
            <v>Fluticason propionat</v>
          </cell>
          <cell r="D887" t="str">
            <v>Hô hấp</v>
          </cell>
        </row>
        <row r="888">
          <cell r="B888">
            <v>876</v>
          </cell>
          <cell r="C888" t="str">
            <v xml:space="preserve">Naphazolin </v>
          </cell>
          <cell r="D888" t="str">
            <v>Nhỏ mũi</v>
          </cell>
        </row>
        <row r="889">
          <cell r="B889">
            <v>877</v>
          </cell>
          <cell r="C889" t="str">
            <v xml:space="preserve">Natri borat </v>
          </cell>
          <cell r="D889" t="str">
            <v>Nhỏ tai</v>
          </cell>
        </row>
        <row r="890">
          <cell r="B890">
            <v>878</v>
          </cell>
          <cell r="C890" t="str">
            <v>Phenazon + lidocain 
hydroclorid</v>
          </cell>
          <cell r="D890" t="str">
            <v>Nhỏ tai</v>
          </cell>
        </row>
        <row r="891">
          <cell r="B891">
            <v>879</v>
          </cell>
          <cell r="C891" t="str">
            <v>Rifamycin</v>
          </cell>
          <cell r="D891" t="str">
            <v>Nhỏ tai</v>
          </cell>
        </row>
        <row r="892">
          <cell r="B892">
            <v>880</v>
          </cell>
          <cell r="C892" t="str">
            <v xml:space="preserve">Tixocortol pivalat </v>
          </cell>
          <cell r="D892" t="str">
            <v>Dùng ngoài, phun mù</v>
          </cell>
        </row>
        <row r="893">
          <cell r="B893">
            <v>881</v>
          </cell>
          <cell r="C893" t="str">
            <v>Triprolidin hydroclorid +  pseudoephedrin</v>
          </cell>
          <cell r="D893" t="str">
            <v>Uống</v>
          </cell>
        </row>
        <row r="894">
          <cell r="B894">
            <v>882</v>
          </cell>
          <cell r="C894" t="str">
            <v>Tyrothricin + benzocain+ benzalkonium</v>
          </cell>
          <cell r="D894" t="str">
            <v>Uống</v>
          </cell>
        </row>
        <row r="895">
          <cell r="B895">
            <v>883</v>
          </cell>
          <cell r="C895" t="str">
            <v>Xylometazolin</v>
          </cell>
          <cell r="D895" t="str">
            <v>Hô hấp</v>
          </cell>
        </row>
        <row r="896">
          <cell r="B896">
            <v>884</v>
          </cell>
          <cell r="C896" t="str">
            <v>Carbetocin</v>
          </cell>
          <cell r="D896" t="str">
            <v>Tiêm/truyền</v>
          </cell>
        </row>
        <row r="897">
          <cell r="B897">
            <v>885</v>
          </cell>
          <cell r="C897" t="str">
            <v xml:space="preserve">Carboprost tromethamin </v>
          </cell>
          <cell r="D897" t="str">
            <v>Tiêm</v>
          </cell>
        </row>
        <row r="898">
          <cell r="B898">
            <v>886</v>
          </cell>
          <cell r="C898" t="str">
            <v xml:space="preserve">Dinoproston </v>
          </cell>
          <cell r="D898" t="str">
            <v>Đặt âm đạo</v>
          </cell>
        </row>
        <row r="899">
          <cell r="B899">
            <v>887</v>
          </cell>
          <cell r="C899" t="str">
            <v>Levonorgestrel</v>
          </cell>
          <cell r="D899" t="str">
            <v>Đặt âm đạo</v>
          </cell>
          <cell r="E899" t="str">
            <v>Quỹ bảo hiểm y tế thanh toán điều trị chứng rong kinh vô căn.</v>
          </cell>
          <cell r="F899" t="str">
            <v>Quỹ bảo hiểm y tế thanh toán điều trị chứng rong kinh vô căn.</v>
          </cell>
        </row>
        <row r="900">
          <cell r="B900">
            <v>888</v>
          </cell>
          <cell r="C900" t="str">
            <v xml:space="preserve">Methyl ergometrin maleat </v>
          </cell>
          <cell r="D900" t="str">
            <v>Tiêm</v>
          </cell>
        </row>
        <row r="901">
          <cell r="B901">
            <v>889</v>
          </cell>
          <cell r="C901" t="str">
            <v>Oxytocin</v>
          </cell>
          <cell r="D901" t="str">
            <v>Tiêm/truyền</v>
          </cell>
        </row>
        <row r="902">
          <cell r="B902">
            <v>890</v>
          </cell>
          <cell r="C902" t="str">
            <v>Ergometrin 
(hydrogen maleat)</v>
          </cell>
          <cell r="D902" t="str">
            <v>Tiêm</v>
          </cell>
        </row>
        <row r="903">
          <cell r="B903">
            <v>891</v>
          </cell>
          <cell r="C903" t="str">
            <v>Misoprostol</v>
          </cell>
          <cell r="D903" t="str">
            <v>Uống</v>
          </cell>
        </row>
        <row r="904">
          <cell r="B904">
            <v>892</v>
          </cell>
          <cell r="C904" t="str">
            <v>Atosiban</v>
          </cell>
          <cell r="D904" t="str">
            <v>Tiêm/truyền</v>
          </cell>
        </row>
        <row r="905">
          <cell r="B905">
            <v>893</v>
          </cell>
          <cell r="C905" t="str">
            <v xml:space="preserve">Papaverin </v>
          </cell>
          <cell r="D905" t="str">
            <v>Uống</v>
          </cell>
        </row>
        <row r="906">
          <cell r="B906">
            <v>894</v>
          </cell>
          <cell r="C906" t="str">
            <v xml:space="preserve">Salbutamol sulfat </v>
          </cell>
          <cell r="D906" t="str">
            <v>Tiêm</v>
          </cell>
        </row>
        <row r="907">
          <cell r="B907">
            <v>895</v>
          </cell>
          <cell r="C907" t="str">
            <v>Dung dịch lọc màng bụng</v>
          </cell>
          <cell r="D907" t="str">
            <v>Thẩm phân phúc mạc</v>
          </cell>
        </row>
        <row r="908">
          <cell r="B908">
            <v>896</v>
          </cell>
          <cell r="C908" t="str">
            <v>Dung dịch lọc máu dùng  trong thận nhân tạo  
(bicarbonat hoặc acetat)</v>
          </cell>
          <cell r="D908" t="str">
            <v>Dung dịch  
thẩm phân</v>
          </cell>
        </row>
        <row r="909">
          <cell r="B909">
            <v>897</v>
          </cell>
          <cell r="C909" t="str">
            <v>Dung dịch lọc máu liên tục (có hoặc không có chống đông bằng citrat; có hoặc không có chứa lactat)</v>
          </cell>
          <cell r="D909" t="str">
            <v>Tiêm/truyền</v>
          </cell>
        </row>
        <row r="910">
          <cell r="B910">
            <v>898</v>
          </cell>
          <cell r="C910" t="str">
            <v xml:space="preserve">Bromazepam </v>
          </cell>
          <cell r="D910" t="str">
            <v>Uống</v>
          </cell>
        </row>
        <row r="911">
          <cell r="B911">
            <v>899</v>
          </cell>
          <cell r="C911" t="str">
            <v xml:space="preserve">Clorazepat </v>
          </cell>
          <cell r="D911" t="str">
            <v>Uống</v>
          </cell>
        </row>
        <row r="912">
          <cell r="B912">
            <v>900</v>
          </cell>
          <cell r="C912" t="str">
            <v>Diazepam</v>
          </cell>
          <cell r="D912" t="str">
            <v>Tiêm, uống</v>
          </cell>
        </row>
        <row r="913">
          <cell r="B913">
            <v>901</v>
          </cell>
          <cell r="C913" t="str">
            <v>Etifoxin chlohydrat</v>
          </cell>
          <cell r="D913" t="str">
            <v>Uống</v>
          </cell>
        </row>
        <row r="914">
          <cell r="B914">
            <v>902</v>
          </cell>
          <cell r="C914" t="str">
            <v xml:space="preserve">Hydroxyzin </v>
          </cell>
          <cell r="D914" t="str">
            <v>Uống</v>
          </cell>
        </row>
        <row r="915">
          <cell r="B915">
            <v>903</v>
          </cell>
          <cell r="C915" t="str">
            <v xml:space="preserve">Lorazepam </v>
          </cell>
          <cell r="D915" t="str">
            <v>Uống, tiêm</v>
          </cell>
        </row>
        <row r="916">
          <cell r="B916">
            <v>904</v>
          </cell>
          <cell r="C916" t="str">
            <v>Rotundin</v>
          </cell>
          <cell r="D916" t="str">
            <v>Uống</v>
          </cell>
        </row>
        <row r="917">
          <cell r="B917">
            <v>905</v>
          </cell>
          <cell r="C917" t="str">
            <v xml:space="preserve">Zolpidem </v>
          </cell>
          <cell r="D917" t="str">
            <v>Uống</v>
          </cell>
        </row>
        <row r="918">
          <cell r="B918">
            <v>906</v>
          </cell>
          <cell r="C918" t="str">
            <v>Zopiclon</v>
          </cell>
          <cell r="D918" t="str">
            <v>Uống</v>
          </cell>
        </row>
        <row r="919">
          <cell r="B919">
            <v>907</v>
          </cell>
          <cell r="C919" t="str">
            <v>Acid thioctic (Meglumin thioctat)</v>
          </cell>
          <cell r="D919" t="str">
            <v>Uống</v>
          </cell>
          <cell r="E919" t="str">
            <v>Quỹ bảo hiểm y tế thanh toán điều trị rối loạn cảm giác do bệnh viêm đa dây thần kinh đái tháo đường.</v>
          </cell>
          <cell r="F919" t="str">
            <v>Quỹ bảo hiểm y tế thanh toán điều trị rối loạn cảm giác do bệnh viêm đa dây thần kinh đái tháo đường.</v>
          </cell>
        </row>
        <row r="920">
          <cell r="B920">
            <v>908</v>
          </cell>
          <cell r="C920" t="str">
            <v xml:space="preserve">Alprazolam </v>
          </cell>
          <cell r="D920" t="str">
            <v>Uống</v>
          </cell>
        </row>
        <row r="921">
          <cell r="B921">
            <v>909</v>
          </cell>
          <cell r="C921" t="str">
            <v xml:space="preserve">Amisulprid </v>
          </cell>
          <cell r="D921" t="str">
            <v>Uống</v>
          </cell>
        </row>
        <row r="922">
          <cell r="B922">
            <v>910</v>
          </cell>
          <cell r="C922" t="str">
            <v xml:space="preserve">Clorpromazin </v>
          </cell>
          <cell r="D922" t="str">
            <v>Tiêm/truyền, uống</v>
          </cell>
        </row>
        <row r="923">
          <cell r="B923">
            <v>911</v>
          </cell>
          <cell r="C923" t="str">
            <v xml:space="preserve">Clozapin </v>
          </cell>
          <cell r="D923" t="str">
            <v>Uống</v>
          </cell>
        </row>
        <row r="924">
          <cell r="B924">
            <v>912</v>
          </cell>
          <cell r="C924" t="str">
            <v xml:space="preserve">Clonazepam </v>
          </cell>
          <cell r="D924" t="str">
            <v>Uống</v>
          </cell>
        </row>
        <row r="925">
          <cell r="B925">
            <v>913</v>
          </cell>
          <cell r="C925" t="str">
            <v>Donepezil</v>
          </cell>
          <cell r="D925" t="str">
            <v>Uống</v>
          </cell>
        </row>
        <row r="926">
          <cell r="B926">
            <v>914</v>
          </cell>
          <cell r="C926" t="str">
            <v xml:space="preserve">Flupentixol </v>
          </cell>
          <cell r="D926" t="str">
            <v>Uống</v>
          </cell>
        </row>
        <row r="927">
          <cell r="B927">
            <v>915</v>
          </cell>
          <cell r="C927" t="str">
            <v xml:space="preserve">Fluphenazin decanoat </v>
          </cell>
          <cell r="D927" t="str">
            <v>Tiêm</v>
          </cell>
        </row>
        <row r="928">
          <cell r="B928">
            <v>916</v>
          </cell>
          <cell r="C928" t="str">
            <v>Haloperidol</v>
          </cell>
          <cell r="D928" t="str">
            <v>Tiêm/truyền, uống</v>
          </cell>
        </row>
        <row r="929">
          <cell r="B929">
            <v>917</v>
          </cell>
          <cell r="C929" t="str">
            <v xml:space="preserve">Levomepromazin </v>
          </cell>
          <cell r="D929" t="str">
            <v>Tiêm, uống</v>
          </cell>
        </row>
        <row r="930">
          <cell r="B930">
            <v>918</v>
          </cell>
          <cell r="C930" t="str">
            <v>Levosulpirid</v>
          </cell>
          <cell r="D930" t="str">
            <v>Uống</v>
          </cell>
        </row>
        <row r="931">
          <cell r="B931">
            <v>919</v>
          </cell>
          <cell r="C931" t="str">
            <v xml:space="preserve">Meclophenoxat </v>
          </cell>
          <cell r="D931" t="str">
            <v>Uống, tiêm</v>
          </cell>
        </row>
        <row r="932">
          <cell r="B932">
            <v>920</v>
          </cell>
          <cell r="C932" t="str">
            <v>Olanzapin</v>
          </cell>
          <cell r="D932" t="str">
            <v>Uống</v>
          </cell>
        </row>
        <row r="933">
          <cell r="B933">
            <v>921</v>
          </cell>
          <cell r="C933" t="str">
            <v xml:space="preserve">Quetiapin </v>
          </cell>
          <cell r="D933" t="str">
            <v>Uống</v>
          </cell>
        </row>
        <row r="934">
          <cell r="B934">
            <v>922</v>
          </cell>
          <cell r="C934" t="str">
            <v>Risperidon</v>
          </cell>
          <cell r="D934" t="str">
            <v>Uống</v>
          </cell>
        </row>
        <row r="935">
          <cell r="B935">
            <v>923</v>
          </cell>
          <cell r="C935" t="str">
            <v>Sulpirid</v>
          </cell>
          <cell r="D935" t="str">
            <v>Uống</v>
          </cell>
        </row>
        <row r="936">
          <cell r="B936">
            <v>924</v>
          </cell>
          <cell r="C936" t="str">
            <v xml:space="preserve">Thioridazin </v>
          </cell>
          <cell r="D936" t="str">
            <v>Uống</v>
          </cell>
        </row>
        <row r="937">
          <cell r="B937">
            <v>925</v>
          </cell>
          <cell r="C937" t="str">
            <v>Tofisopam</v>
          </cell>
          <cell r="D937" t="str">
            <v>Uống</v>
          </cell>
        </row>
        <row r="938">
          <cell r="B938">
            <v>926</v>
          </cell>
          <cell r="C938" t="str">
            <v xml:space="preserve">Ziprasidon </v>
          </cell>
          <cell r="D938" t="str">
            <v>Uống</v>
          </cell>
        </row>
        <row r="939">
          <cell r="B939">
            <v>927</v>
          </cell>
          <cell r="C939" t="str">
            <v xml:space="preserve">Zuclopenthixol </v>
          </cell>
          <cell r="D939" t="str">
            <v>Tiêm, uống</v>
          </cell>
        </row>
        <row r="940">
          <cell r="B940">
            <v>928</v>
          </cell>
          <cell r="C940" t="str">
            <v>Amitriptylin hydroclorid</v>
          </cell>
          <cell r="D940" t="str">
            <v>Uống</v>
          </cell>
        </row>
        <row r="941">
          <cell r="B941">
            <v>929</v>
          </cell>
          <cell r="C941" t="str">
            <v xml:space="preserve">Citalopram </v>
          </cell>
          <cell r="D941" t="str">
            <v>Uống</v>
          </cell>
        </row>
        <row r="942">
          <cell r="B942">
            <v>930</v>
          </cell>
          <cell r="C942" t="str">
            <v xml:space="preserve">Clomipramin </v>
          </cell>
          <cell r="D942" t="str">
            <v>Uống</v>
          </cell>
        </row>
        <row r="943">
          <cell r="B943">
            <v>931</v>
          </cell>
          <cell r="C943" t="str">
            <v>Fluoxetin</v>
          </cell>
          <cell r="D943" t="str">
            <v>Uống</v>
          </cell>
        </row>
        <row r="944">
          <cell r="B944">
            <v>932</v>
          </cell>
          <cell r="C944" t="str">
            <v>Fluvoxamin</v>
          </cell>
          <cell r="D944" t="str">
            <v>Uống</v>
          </cell>
        </row>
        <row r="945">
          <cell r="B945">
            <v>933</v>
          </cell>
          <cell r="C945" t="str">
            <v>Methylphenidate  
hydrochloride</v>
          </cell>
          <cell r="D945" t="str">
            <v>Uống</v>
          </cell>
          <cell r="E945" t="str">
            <v>Quỹ bảo hiểm y tế thanh  toán tại bệnh viện hạng đặc  biệt, hạng I, II và bệnh viện  chuyên khoa tâm thần.</v>
          </cell>
          <cell r="F945" t="str">
            <v>Quỹ bảo hiểm y tế thanh  toán tại bệnh viện hạng đặc  biệt, hạng I, II và bệnh viện  chuyên khoa tâm thần.</v>
          </cell>
        </row>
        <row r="946">
          <cell r="B946">
            <v>934</v>
          </cell>
          <cell r="C946" t="str">
            <v>Mirtazapin</v>
          </cell>
          <cell r="D946" t="str">
            <v>Uống</v>
          </cell>
        </row>
        <row r="947">
          <cell r="B947">
            <v>935</v>
          </cell>
          <cell r="C947" t="str">
            <v xml:space="preserve">Paroxetin </v>
          </cell>
          <cell r="D947" t="str">
            <v>Uống</v>
          </cell>
        </row>
        <row r="948">
          <cell r="B948">
            <v>936</v>
          </cell>
          <cell r="C948" t="str">
            <v>Sertralin</v>
          </cell>
          <cell r="D948" t="str">
            <v>Uống</v>
          </cell>
        </row>
        <row r="949">
          <cell r="B949">
            <v>937</v>
          </cell>
          <cell r="C949" t="str">
            <v xml:space="preserve">Tianeptin </v>
          </cell>
          <cell r="D949" t="str">
            <v>Uống</v>
          </cell>
        </row>
        <row r="950">
          <cell r="B950">
            <v>938</v>
          </cell>
          <cell r="C950" t="str">
            <v xml:space="preserve">Venlafaxin </v>
          </cell>
          <cell r="D950" t="str">
            <v>Uống</v>
          </cell>
        </row>
        <row r="951">
          <cell r="B951">
            <v>939</v>
          </cell>
          <cell r="C951" t="str">
            <v>Acetyl leucin</v>
          </cell>
          <cell r="D951" t="str">
            <v>Tiêm/truyền, uống</v>
          </cell>
        </row>
        <row r="952">
          <cell r="B952">
            <v>940</v>
          </cell>
          <cell r="C952" t="str">
            <v>Peptide (Cerebrolysin concentrate)</v>
          </cell>
          <cell r="D952" t="str">
            <v>Tiêm/truyền</v>
          </cell>
          <cell r="E952" t="str">
            <v>Quỹ bảo hiểm y tế thanh toán 50% trong các trường hợp:
'- Đột quỵ cấp tính;
'- Sau chấn thương sọ não;
'- Sau phẫu thuật chấn thương sọ não;
'- Sau phẫu thuật thần kinh sọ não.</v>
          </cell>
          <cell r="F952" t="str">
            <v>Quỹ bảo hiểm y tế thanh toán 50% trong các trường hợp:
'- Đột quỵ cấp tính;
'- Sau chấn thương sọ não;
'- Sau phẫu thuật chấn thương sọ não;
'- Sau phẫu thuật thần kinh sọ não.</v>
          </cell>
        </row>
        <row r="953">
          <cell r="B953">
            <v>941</v>
          </cell>
          <cell r="C953" t="str">
            <v xml:space="preserve">Choline alfoscerat </v>
          </cell>
          <cell r="D953" t="str">
            <v>Tiêm</v>
          </cell>
          <cell r="E953" t="str">
            <v>Quỹ bảo hiểm y tế thanh toán 50% trong các trường hợp:
'- Đột quỵ cấp tính;
'- Sau chấn thương sọ não;
'- Sau phẫu thuật chấn thương sọ não;
'- Sau phẫu thuật thần kinh sọ não.</v>
          </cell>
          <cell r="F953" t="str">
            <v>Quỹ bảo hiểm y tế thanh toán 50% trong các trường hợp:
'- Đột quỵ cấp tính;
'- Sau chấn thương sọ não;
'- Sau phẫu thuật chấn thương sọ não;
'- Sau phẫu thuật thần kinh sọ não.</v>
          </cell>
        </row>
        <row r="954">
          <cell r="B954">
            <v>942</v>
          </cell>
          <cell r="C954" t="str">
            <v>Citicolin</v>
          </cell>
          <cell r="D954" t="str">
            <v>Tiêm/truyền</v>
          </cell>
          <cell r="E954" t="str">
            <v>Quỹ bảo hiểm y tế thanh toán 50% trong các trường hợp:
'- Đột quỵ cấp tính;
'- Sau chấn thương sọ não;
'- Sau phẫu thuật chấn thương sọ não;
'- Sau phẫu thuật thần kinh sọ não.</v>
          </cell>
          <cell r="F954" t="str">
            <v>Quỹ bảo hiểm y tế thanh toán 50% trong các trường hợp:
'- Đột quỵ cấp tính;
'- Sau chấn thương sọ não;
'- Sau phẫu thuật chấn thương sọ não;
'- Sau phẫu thuật thần kinh sọ não.</v>
          </cell>
        </row>
        <row r="955">
          <cell r="B955">
            <v>943</v>
          </cell>
          <cell r="C955" t="str">
            <v>Panax notoginseng saponins</v>
          </cell>
          <cell r="D955" t="str">
            <v>Tiêm/truyền, uống</v>
          </cell>
          <cell r="E955" t="str">
            <v>Quỹ bảo hiểm y tế thanh toán 50% trong các trường hợp:
'- Đột quỵ cấp tính;
'- Sau chấn thương sọ não;
'- Sau phẫu thuật chấn thương sọ não;
'- Sau phẫu thuật thần kinh sọ não.</v>
          </cell>
          <cell r="F955" t="str">
            <v>Quỹ bảo hiểm y tế thanh toán 50% trong các trường hợp:
'- Đột quỵ cấp tính;
'- Sau chấn thương sọ não;
'- Sau phẫu thuật chấn thương sọ não;
'- Sau phẫu thuật thần kinh sọ não.</v>
          </cell>
        </row>
        <row r="956">
          <cell r="B956">
            <v>944</v>
          </cell>
          <cell r="C956" t="str">
            <v>Cytidin-5monophosphat  disodium + uridin</v>
          </cell>
          <cell r="D956" t="str">
            <v>Tiêm, uống</v>
          </cell>
          <cell r="E956" t="str">
            <v>Quỹ bảo hiểm y tế thanh  toán điều trị tổn thương thần  kinh ngoại biên.</v>
          </cell>
          <cell r="F956" t="str">
            <v>Quỹ bảo hiểm y tế thanh  toán điều trị tổn thương thần  kinh ngoại biên.</v>
          </cell>
        </row>
        <row r="957">
          <cell r="B957">
            <v>945</v>
          </cell>
          <cell r="C957" t="str">
            <v>Galantamin</v>
          </cell>
          <cell r="D957" t="str">
            <v>Tiêm/truyền</v>
          </cell>
          <cell r="E957" t="str">
            <v>Quỹ bảo hiểm y tế thanh toán điều trị:
'- Bệnh lý thần kinh ngoại vi liên quan đến rối loạn vận động trong trường hợp người bệnh nội trú;
'- Liệt vận động sau khi mắc bệnh tủy sống;
'- Mất khả năng vận động sau đột quỵ, liệt não ở trẻ em;
'- Liệt ruột và bàng quang sau phẫu thuật;
'- Giải độc Atropin và chất tương tự Atropin.</v>
          </cell>
          <cell r="F957" t="str">
            <v>Quỹ bảo hiểm y tế thanh toán điều trị:
'- Bệnh lý thần kinh ngoại vi liên quan đến rối loạn vận động trong trường hợp người bệnh nội trú;
'- Liệt vận động sau khi mắc bệnh tủy sống;
'- Mất khả năng vận động sau đột quỵ, liệt não ở trẻ em;
'- Liệt ruột và bàng quang sau phẫu thuật;
'- Giải độc Atropin và chất tương tự Atropin.</v>
          </cell>
        </row>
        <row r="958">
          <cell r="B958">
            <v>945</v>
          </cell>
          <cell r="C958" t="str">
            <v>Galantamin</v>
          </cell>
          <cell r="D958" t="str">
            <v>Uống</v>
          </cell>
          <cell r="E958" t="str">
            <v>Quỹ bảo hiểm y tế thanh toán điều trị chứng sa sút trí tuệ từ nhẹ đến trung bình trong bệnh Alzheimer</v>
          </cell>
          <cell r="F958" t="str">
            <v>Quỹ bảo hiểm y tế thanh toán điều trị chứng sa sút trí tuệ từ nhẹ đến trung bình trong bệnh Alzheimer</v>
          </cell>
        </row>
        <row r="959">
          <cell r="B959">
            <v>946</v>
          </cell>
          <cell r="C959" t="str">
            <v>Ginkgo biloba</v>
          </cell>
          <cell r="D959" t="str">
            <v>Uống</v>
          </cell>
          <cell r="E959"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cell r="F959" t="str">
            <v>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v>
          </cell>
        </row>
        <row r="960">
          <cell r="B960">
            <v>947</v>
          </cell>
          <cell r="C960" t="str">
            <v>Mecobalamin</v>
          </cell>
          <cell r="D960" t="str">
            <v>Tiêm/truyền, uống</v>
          </cell>
          <cell r="E960" t="str">
            <v>Quỹ bảo hiểm y tế thanh toán điều trị thiếu máu hồng cầu khổng lồ, bệnh lý thần kinh ngoại biên do thiếu vitamin B12.</v>
          </cell>
          <cell r="F960" t="str">
            <v>Quỹ bảo hiểm y tế thanh toán điều trị thiếu máu hồng cầu khổng lồ, bệnh lý thần kinh ngoại biên do thiếu vitamin B12.</v>
          </cell>
        </row>
        <row r="961">
          <cell r="B961">
            <v>948</v>
          </cell>
          <cell r="C961" t="str">
            <v>Pentoxifyllin</v>
          </cell>
          <cell r="D961" t="str">
            <v>Tiêm/truyền</v>
          </cell>
          <cell r="E961" t="str">
            <v>Quỹ bảo hiểm y tế thanh toán trong điều trị rối loạn mạch máu ngoại vi.</v>
          </cell>
          <cell r="F961" t="str">
            <v>Quỹ bảo hiểm y tế thanh toán trong điều trị rối loạn mạch máu ngoại vi.</v>
          </cell>
        </row>
        <row r="962">
          <cell r="B962">
            <v>949</v>
          </cell>
          <cell r="C962" t="str">
            <v>Piracetam</v>
          </cell>
          <cell r="D962" t="str">
            <v>Tiêm/truyền</v>
          </cell>
          <cell r="E962" t="str">
            <v>Quỹ bảo hiểm y tế thanh toán trong điều trị giật rung cơ có nguồn gốc vỏ não.</v>
          </cell>
          <cell r="F962" t="str">
            <v>Quỹ bảo hiểm y tế thanh toán trong điều trị giật rung cơ có nguồn gốc vỏ não.</v>
          </cell>
        </row>
        <row r="963">
          <cell r="B963">
            <v>949</v>
          </cell>
          <cell r="C963" t="str">
            <v>Piracetam</v>
          </cell>
          <cell r="D963" t="str">
            <v>Uống</v>
          </cell>
        </row>
        <row r="964">
          <cell r="B964">
            <v>950</v>
          </cell>
          <cell r="C964" t="str">
            <v>Vinpocetin</v>
          </cell>
          <cell r="D964" t="str">
            <v>Tiêm/truyền, uống</v>
          </cell>
          <cell r="E964" t="str">
            <v>Quỹ bảo hiểm y tế thanh toán trong điều trị triệu chứng thần kinh của chứng sa sút trí tuệ do nguyên nhân mạch.</v>
          </cell>
          <cell r="F964" t="str">
            <v>Quỹ bảo hiểm y tế thanh toán trong điều trị triệu chứng thần kinh của chứng sa sút trí tuệ do nguyên nhân mạch.</v>
          </cell>
        </row>
        <row r="965">
          <cell r="B965">
            <v>951</v>
          </cell>
          <cell r="C965" t="str">
            <v>Aminophylin</v>
          </cell>
          <cell r="D965" t="str">
            <v>Tiêm/truyền</v>
          </cell>
        </row>
        <row r="966">
          <cell r="B966">
            <v>952</v>
          </cell>
          <cell r="C966" t="str">
            <v xml:space="preserve">Bambuterol </v>
          </cell>
          <cell r="D966" t="str">
            <v>Uống</v>
          </cell>
        </row>
        <row r="967">
          <cell r="B967">
            <v>953</v>
          </cell>
          <cell r="C967" t="str">
            <v>Budesonid</v>
          </cell>
          <cell r="D967" t="str">
            <v>Hít/Khí dung</v>
          </cell>
        </row>
        <row r="968">
          <cell r="B968">
            <v>954</v>
          </cell>
          <cell r="C968" t="str">
            <v>Budesonid + formoterol</v>
          </cell>
          <cell r="D968" t="str">
            <v>Hít</v>
          </cell>
        </row>
        <row r="969">
          <cell r="B969">
            <v>955</v>
          </cell>
          <cell r="C969" t="str">
            <v>Fenoterol + ipratropium</v>
          </cell>
          <cell r="D969" t="str">
            <v>Hô hấp</v>
          </cell>
        </row>
        <row r="970">
          <cell r="B970">
            <v>956</v>
          </cell>
          <cell r="C970" t="str">
            <v xml:space="preserve">Formoterol fumarat </v>
          </cell>
          <cell r="D970" t="str">
            <v>Khí dung</v>
          </cell>
        </row>
        <row r="971">
          <cell r="B971">
            <v>957</v>
          </cell>
          <cell r="C971" t="str">
            <v>Indacaterol</v>
          </cell>
          <cell r="D971" t="str">
            <v>Hít</v>
          </cell>
        </row>
        <row r="972">
          <cell r="B972">
            <v>958</v>
          </cell>
          <cell r="C972" t="str">
            <v>Indacaterol+ glycopyrronium</v>
          </cell>
          <cell r="D972" t="str">
            <v>Hô hấp</v>
          </cell>
        </row>
        <row r="973">
          <cell r="B973">
            <v>959</v>
          </cell>
          <cell r="C973" t="str">
            <v xml:space="preserve">Ipratropium </v>
          </cell>
          <cell r="D973" t="str">
            <v>Uống, khí dung</v>
          </cell>
        </row>
        <row r="974">
          <cell r="B974">
            <v>960</v>
          </cell>
          <cell r="C974" t="str">
            <v>Natri montelukast</v>
          </cell>
          <cell r="D974" t="str">
            <v>Uống</v>
          </cell>
        </row>
        <row r="975">
          <cell r="B975">
            <v>961</v>
          </cell>
          <cell r="C975" t="str">
            <v xml:space="preserve">Omalizumab </v>
          </cell>
          <cell r="D975" t="str">
            <v>Tiêm</v>
          </cell>
          <cell r="E975" t="str">
            <v>Quỹ bảo hiểm y tế thanh  toán với chỉ định điều trị  cho người bệnh từ 12 tuổi  trở lên bị hen do dị ứng dai  dẳng kéo dài với mức độ  nặng (bậc 5 GINA), có test  da hoặc phản ứng dị nguyên  dương tính (in vitro) và  không đáp ứng đầy đủ bằng  corticoid liều cao và kết hợp  LABA; thanh toán 50%.</v>
          </cell>
          <cell r="F975" t="str">
            <v>Quỹ bảo hiểm y tế thanh  toán với chỉ định điều trị  cho người bệnh từ 12 tuổi  trở lên bị hen do dị ứng dai  dẳng kéo dài với mức độ  nặng (bậc 5 GINA), có test  da hoặc phản ứng dị nguyên  dương tính (in vitro) và  không đáp ứng đầy đủ bằng  corticoid liều cao và kết hợp  LABA; thanh toán 50%.</v>
          </cell>
        </row>
        <row r="976">
          <cell r="B976">
            <v>962</v>
          </cell>
          <cell r="C976" t="str">
            <v>Salbutamol sulfat</v>
          </cell>
          <cell r="D976" t="str">
            <v>Hô hấp, uống</v>
          </cell>
        </row>
        <row r="977">
          <cell r="B977">
            <v>963</v>
          </cell>
          <cell r="C977" t="str">
            <v>Salbutamol + ipratropium</v>
          </cell>
          <cell r="D977" t="str">
            <v>Hô hấp</v>
          </cell>
        </row>
        <row r="978">
          <cell r="B978">
            <v>964</v>
          </cell>
          <cell r="C978" t="str">
            <v>Salmeterol + fluticason propionat</v>
          </cell>
          <cell r="D978" t="str">
            <v>Hít qua đường miệng</v>
          </cell>
        </row>
        <row r="979">
          <cell r="B979">
            <v>965</v>
          </cell>
          <cell r="C979" t="str">
            <v>Terbutalin</v>
          </cell>
          <cell r="D979" t="str">
            <v>Tiêm/truyền</v>
          </cell>
        </row>
        <row r="980">
          <cell r="B980">
            <v>966</v>
          </cell>
          <cell r="C980" t="str">
            <v>Theophylin</v>
          </cell>
          <cell r="D980" t="str">
            <v>Uống</v>
          </cell>
        </row>
        <row r="981">
          <cell r="B981">
            <v>967</v>
          </cell>
          <cell r="C981" t="str">
            <v>Tiotropium</v>
          </cell>
          <cell r="D981" t="str">
            <v>Hô hấp</v>
          </cell>
        </row>
        <row r="982">
          <cell r="B982">
            <v>968</v>
          </cell>
          <cell r="C982" t="str">
            <v>Ambroxol</v>
          </cell>
          <cell r="D982" t="str">
            <v>Uống</v>
          </cell>
        </row>
        <row r="983">
          <cell r="B983">
            <v>969</v>
          </cell>
          <cell r="C983" t="str">
            <v>Bromhexin hydroclorid</v>
          </cell>
          <cell r="D983" t="str">
            <v>Uống</v>
          </cell>
        </row>
        <row r="984">
          <cell r="B984">
            <v>970</v>
          </cell>
          <cell r="C984" t="str">
            <v>Carbocistein</v>
          </cell>
          <cell r="D984" t="str">
            <v>Uống</v>
          </cell>
        </row>
        <row r="985">
          <cell r="B985">
            <v>971</v>
          </cell>
          <cell r="C985" t="str">
            <v xml:space="preserve">Carbocistein + promethazin </v>
          </cell>
          <cell r="D985" t="str">
            <v>Uống</v>
          </cell>
        </row>
        <row r="986">
          <cell r="B986">
            <v>972</v>
          </cell>
          <cell r="C986" t="str">
            <v>Codein camphosulphonat + sulfogaiacol + cao mềm grindelia</v>
          </cell>
          <cell r="D986" t="str">
            <v>Uống</v>
          </cell>
        </row>
        <row r="987">
          <cell r="B987">
            <v>973</v>
          </cell>
          <cell r="C987" t="str">
            <v>Codein + Terpin hydrat</v>
          </cell>
          <cell r="D987" t="str">
            <v>Uống</v>
          </cell>
        </row>
        <row r="988">
          <cell r="B988">
            <v>974</v>
          </cell>
          <cell r="C988" t="str">
            <v xml:space="preserve">Dextromethorphan </v>
          </cell>
          <cell r="D988" t="str">
            <v>Uống</v>
          </cell>
        </row>
        <row r="989">
          <cell r="B989">
            <v>975</v>
          </cell>
          <cell r="C989" t="str">
            <v xml:space="preserve">Eprazinon </v>
          </cell>
          <cell r="D989" t="str">
            <v>Uống</v>
          </cell>
        </row>
        <row r="990">
          <cell r="B990">
            <v>976</v>
          </cell>
          <cell r="C990" t="str">
            <v xml:space="preserve">Fenspirid </v>
          </cell>
          <cell r="D990" t="str">
            <v>Uống</v>
          </cell>
        </row>
        <row r="991">
          <cell r="B991">
            <v>977</v>
          </cell>
          <cell r="C991" t="str">
            <v>N-acetylcystein</v>
          </cell>
          <cell r="D991" t="str">
            <v>Uống</v>
          </cell>
        </row>
        <row r="992">
          <cell r="B992">
            <v>978</v>
          </cell>
          <cell r="C992" t="str">
            <v>Chất ly giải vi khuẩn đông  khô của Haemophilus  
influenzae + Diplococcus  pneumoniae + Klebsiella  pneumoniae and ozaenae +  Staphylococcus 
aureus + Streptococcus  pyogenes and viridans +  Neisseria catarrhalis</v>
          </cell>
          <cell r="D992" t="str">
            <v>Uống</v>
          </cell>
        </row>
        <row r="993">
          <cell r="B993">
            <v>979</v>
          </cell>
          <cell r="C993" t="str">
            <v xml:space="preserve">Bột talc </v>
          </cell>
          <cell r="D993" t="str">
            <v>Bơm vào khoang màng phổi</v>
          </cell>
        </row>
        <row r="994">
          <cell r="B994">
            <v>980</v>
          </cell>
          <cell r="C994" t="str">
            <v xml:space="preserve">Cafein citrat </v>
          </cell>
          <cell r="D994" t="str">
            <v>Tiêm</v>
          </cell>
        </row>
        <row r="995">
          <cell r="B995">
            <v>981</v>
          </cell>
          <cell r="C995" t="str">
            <v xml:space="preserve">Mometason furoat </v>
          </cell>
          <cell r="D995" t="str">
            <v>Xịt mũi</v>
          </cell>
        </row>
        <row r="996">
          <cell r="B996">
            <v>982</v>
          </cell>
          <cell r="C996" t="str">
            <v>Surfactant (Phospholipid  chiết xuất từ phổi lợn hoặc  phổi bò; hoặc chất diện hoạt  chiết xuất từ phổi bò  
(Bovine lung surfactant))</v>
          </cell>
          <cell r="D996" t="str">
            <v>Đường nội khí quản</v>
          </cell>
        </row>
        <row r="997">
          <cell r="B997">
            <v>983</v>
          </cell>
          <cell r="C997" t="str">
            <v>Kali clorid</v>
          </cell>
          <cell r="D997" t="str">
            <v>Uống</v>
          </cell>
        </row>
        <row r="998">
          <cell r="B998">
            <v>984</v>
          </cell>
          <cell r="C998" t="str">
            <v>Magnesi aspartat + kali aspartat</v>
          </cell>
          <cell r="D998" t="str">
            <v>Uống</v>
          </cell>
        </row>
        <row r="999">
          <cell r="B999">
            <v>985</v>
          </cell>
          <cell r="C999" t="str">
            <v>Natri clorid + kali clorid + natri citrat + glucose khan</v>
          </cell>
          <cell r="D999" t="str">
            <v>Uống</v>
          </cell>
        </row>
        <row r="1000">
          <cell r="B1000">
            <v>986</v>
          </cell>
          <cell r="C1000" t="str">
            <v>Natri clorid + natri  
bicarbonat + kali clorid +  dextrose khan</v>
          </cell>
          <cell r="D1000" t="str">
            <v>Uống</v>
          </cell>
        </row>
        <row r="1001">
          <cell r="B1001">
            <v>987</v>
          </cell>
          <cell r="C1001" t="str">
            <v>Acid amin*</v>
          </cell>
          <cell r="D1001" t="str">
            <v>Tiêm/truyền</v>
          </cell>
          <cell r="E1001" t="str">
            <v>BBHC</v>
          </cell>
          <cell r="F1001" t="str">
            <v>BBHC</v>
          </cell>
        </row>
        <row r="1002">
          <cell r="B1002">
            <v>988</v>
          </cell>
          <cell r="C1002" t="str">
            <v xml:space="preserve">Acid amin + điện giải (*) </v>
          </cell>
          <cell r="D1002" t="str">
            <v xml:space="preserve">Tiêm truyền </v>
          </cell>
        </row>
        <row r="1003">
          <cell r="B1003">
            <v>989</v>
          </cell>
          <cell r="C1003" t="str">
            <v>Acid amin + glucose + điện giải (*)</v>
          </cell>
          <cell r="D1003" t="str">
            <v>Tiêm/truyền</v>
          </cell>
          <cell r="E1003" t="str">
            <v>BBHC + Duyệt GĐ</v>
          </cell>
          <cell r="F1003" t="str">
            <v>BBHC + Duyệt GĐ</v>
          </cell>
        </row>
        <row r="1004">
          <cell r="B1004">
            <v>990</v>
          </cell>
          <cell r="C1004" t="str">
            <v>Acid amin + glucose + lipid (*)</v>
          </cell>
          <cell r="D1004" t="str">
            <v>Tiêm/truyền</v>
          </cell>
          <cell r="E1004"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cell r="F1004" t="str">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ell>
        </row>
        <row r="1005">
          <cell r="B1005">
            <v>991</v>
          </cell>
          <cell r="C1005" t="str">
            <v xml:space="preserve">Calci clorid </v>
          </cell>
          <cell r="D1005" t="str">
            <v>Tiêm</v>
          </cell>
        </row>
        <row r="1006">
          <cell r="B1006">
            <v>992</v>
          </cell>
          <cell r="C1006" t="str">
            <v>Glucose</v>
          </cell>
          <cell r="D1006" t="str">
            <v>Tiêm/truyền</v>
          </cell>
        </row>
        <row r="1007">
          <cell r="B1007">
            <v>993</v>
          </cell>
          <cell r="C1007" t="str">
            <v>Kali clorid</v>
          </cell>
          <cell r="D1007" t="str">
            <v>Tiêm/truyền</v>
          </cell>
        </row>
        <row r="1008">
          <cell r="B1008">
            <v>994</v>
          </cell>
          <cell r="C1008" t="str">
            <v>Magnesi sulfat</v>
          </cell>
          <cell r="D1008" t="str">
            <v>Tiêm/truyền</v>
          </cell>
        </row>
        <row r="1009">
          <cell r="B1009">
            <v>995</v>
          </cell>
          <cell r="C1009" t="str">
            <v>Magnesi aspartat + kali aspartat</v>
          </cell>
          <cell r="D1009" t="str">
            <v>Tiêm/truyền</v>
          </cell>
        </row>
        <row r="1010">
          <cell r="B1010">
            <v>996</v>
          </cell>
          <cell r="C1010" t="str">
            <v>Manitol</v>
          </cell>
          <cell r="D1010" t="str">
            <v>Tiêm/truyền</v>
          </cell>
        </row>
        <row r="1011">
          <cell r="B1011">
            <v>997</v>
          </cell>
          <cell r="C1011" t="str">
            <v>Natri clorid</v>
          </cell>
          <cell r="D1011" t="str">
            <v>Tiêm/truyền</v>
          </cell>
        </row>
        <row r="1012">
          <cell r="B1012">
            <v>998</v>
          </cell>
          <cell r="C1012" t="str">
            <v>Natri clorid +  
dextrose/glucose</v>
          </cell>
          <cell r="D1012" t="str">
            <v xml:space="preserve">Tiêm truyền </v>
          </cell>
        </row>
        <row r="1013">
          <cell r="B1013">
            <v>999</v>
          </cell>
          <cell r="C1013" t="str">
            <v>Nhũ dịch lipid</v>
          </cell>
          <cell r="D1013" t="str">
            <v>Tiêm/truyền</v>
          </cell>
        </row>
        <row r="1014">
          <cell r="B1014">
            <v>1000</v>
          </cell>
          <cell r="C1014" t="str">
            <v>Natri clorid + kali clorid + monobasic kali phosphat + natri acetat + magnesi sulfat + kẽm sulfat + dextrose</v>
          </cell>
          <cell r="D1014" t="str">
            <v>Tiêm/truyền</v>
          </cell>
        </row>
        <row r="1015">
          <cell r="B1015">
            <v>1001</v>
          </cell>
          <cell r="C1015" t="str">
            <v>Natri clorid + Kali clorid + Magiesi clorid hexahydrat + Calcium clorid dihydrat + Natri acetat trihydrat + Acid malic</v>
          </cell>
          <cell r="D1015" t="str">
            <v>Tiêm/truyền</v>
          </cell>
        </row>
        <row r="1016">
          <cell r="B1016">
            <v>1001</v>
          </cell>
          <cell r="C1016" t="str">
            <v>Ringer lactat</v>
          </cell>
          <cell r="D1016" t="str">
            <v>Tiêm/truyền</v>
          </cell>
        </row>
        <row r="1017">
          <cell r="B1017">
            <v>1002</v>
          </cell>
          <cell r="C1017" t="str">
            <v>Natri clorid + natri lactat +  kali clorid + calcium clorid  + glucose 
(Ringer lactat + glucose)</v>
          </cell>
          <cell r="D1017" t="str">
            <v xml:space="preserve">Tiêm truyền </v>
          </cell>
        </row>
        <row r="1018">
          <cell r="B1018">
            <v>1003</v>
          </cell>
          <cell r="C1018" t="str">
            <v>Nước cất pha tiêm</v>
          </cell>
          <cell r="D1018" t="str">
            <v>Tiêm/truyền</v>
          </cell>
        </row>
        <row r="1019">
          <cell r="B1019">
            <v>1004</v>
          </cell>
          <cell r="C1019" t="str">
            <v xml:space="preserve">Calci acetat </v>
          </cell>
          <cell r="D1019" t="str">
            <v>Uống</v>
          </cell>
        </row>
        <row r="1020">
          <cell r="B1020">
            <v>1005</v>
          </cell>
          <cell r="C1020" t="str">
            <v>Calci carbonat</v>
          </cell>
          <cell r="D1020" t="str">
            <v>Uống</v>
          </cell>
        </row>
        <row r="1021">
          <cell r="B1021">
            <v>1006</v>
          </cell>
          <cell r="C1021" t="str">
            <v>Calci carbonat + calci gluconolactat</v>
          </cell>
          <cell r="D1021" t="str">
            <v>Uống</v>
          </cell>
        </row>
        <row r="1022">
          <cell r="B1022">
            <v>1007</v>
          </cell>
          <cell r="C1022" t="str">
            <v>Calci carbonat + vitamin D3</v>
          </cell>
          <cell r="D1022" t="str">
            <v>Uống</v>
          </cell>
        </row>
        <row r="1023">
          <cell r="B1023">
            <v>1008</v>
          </cell>
          <cell r="C1023" t="str">
            <v>Calci lactat</v>
          </cell>
          <cell r="D1023" t="str">
            <v>Uống</v>
          </cell>
        </row>
        <row r="1024">
          <cell r="B1024">
            <v>1009</v>
          </cell>
          <cell r="C1024" t="str">
            <v xml:space="preserve">Calci gluconat </v>
          </cell>
          <cell r="D1024" t="str">
            <v>Uống</v>
          </cell>
        </row>
        <row r="1025">
          <cell r="B1025">
            <v>1010</v>
          </cell>
          <cell r="C1025" t="str">
            <v>Calci glubionat</v>
          </cell>
          <cell r="D1025" t="str">
            <v>Tiêm/truyền</v>
          </cell>
        </row>
        <row r="1026">
          <cell r="B1026">
            <v>1011</v>
          </cell>
          <cell r="C1026" t="str">
            <v>Calci glucoheptonate + vitamin D3</v>
          </cell>
          <cell r="D1026" t="str">
            <v>Uống</v>
          </cell>
        </row>
        <row r="1027">
          <cell r="B1027">
            <v>1012</v>
          </cell>
          <cell r="C1027" t="str">
            <v xml:space="preserve">Calci gluconolactat </v>
          </cell>
          <cell r="D1027" t="str">
            <v>Uống</v>
          </cell>
        </row>
        <row r="1028">
          <cell r="B1028">
            <v>1013</v>
          </cell>
          <cell r="C1028" t="str">
            <v>Calci glycerophosphat + magnesi gluconat</v>
          </cell>
          <cell r="D1028" t="str">
            <v>Uống</v>
          </cell>
        </row>
        <row r="1029">
          <cell r="B1029">
            <v>1014</v>
          </cell>
          <cell r="C1029" t="str">
            <v>Calci-3-methyl-2-oxovalerat  + calci-4-methyl-2- 
oxovalerat + calci-2-oxo-3- phenylpropionat + calci-3- methyl-2-oxobutyrat +  calci-DL-2-hydroxy-4- 
methylthiobutyrat + L-lysin  acetat + L-threonin + L tryptophan + L-histidin + L tyrosin (*)</v>
          </cell>
          <cell r="D1029" t="str">
            <v>Uống</v>
          </cell>
          <cell r="E1029" t="str">
            <v>Quỹ bảo hiểm y tế thanh  toán điều trị suy thận mãn,  tăng ure máu.</v>
          </cell>
          <cell r="F1029" t="str">
            <v>Quỹ bảo hiểm y tế thanh  toán điều trị suy thận mãn,  tăng ure máu.</v>
          </cell>
        </row>
        <row r="1030">
          <cell r="B1030">
            <v>1015</v>
          </cell>
          <cell r="C1030" t="str">
            <v>Calcitriol</v>
          </cell>
          <cell r="D1030" t="str">
            <v>Uống</v>
          </cell>
        </row>
        <row r="1031">
          <cell r="B1031">
            <v>1016</v>
          </cell>
          <cell r="C1031" t="str">
            <v xml:space="preserve">Dibencozid </v>
          </cell>
          <cell r="D1031" t="str">
            <v>Uống</v>
          </cell>
        </row>
        <row r="1032">
          <cell r="B1032">
            <v>1017</v>
          </cell>
          <cell r="C1032" t="str">
            <v>Lysin + Vitamin + Khoáng chất</v>
          </cell>
          <cell r="D1032" t="str">
            <v>Uống</v>
          </cell>
          <cell r="E1032" t="str">
            <v>Quỹ bảo hiểm y tế thanh toán điều trị cho trẻ em dưới 6 tuổi suy dinh dưỡng.</v>
          </cell>
          <cell r="F1032" t="str">
            <v>Quỹ bảo hiểm y tế thanh toán điều trị cho trẻ em dưới 6 tuổi suy dinh dưỡng.</v>
          </cell>
        </row>
        <row r="1033">
          <cell r="B1033">
            <v>1018</v>
          </cell>
          <cell r="C1033" t="str">
            <v>Sắt gluconat + mangan gluconat + đồng gluconat</v>
          </cell>
          <cell r="D1033" t="str">
            <v>Uống</v>
          </cell>
        </row>
        <row r="1034">
          <cell r="B1034">
            <v>1019</v>
          </cell>
          <cell r="C1034" t="str">
            <v>Sắt clorid + kẽm clorid + mangan clorid + đồng clorid + crôm clorid + natri molypdat dihydrat + natri selenid pentahydrat + natri fluorid + kali iodid</v>
          </cell>
          <cell r="D1034" t="str">
            <v>Tiêm/truyền</v>
          </cell>
        </row>
        <row r="1035">
          <cell r="B1035">
            <v>1020</v>
          </cell>
          <cell r="C1035" t="str">
            <v xml:space="preserve">Tricalcium phosphat </v>
          </cell>
          <cell r="D1035" t="str">
            <v>Uống</v>
          </cell>
        </row>
        <row r="1036">
          <cell r="B1036">
            <v>1021</v>
          </cell>
          <cell r="C1036" t="str">
            <v>Vitamin A</v>
          </cell>
          <cell r="D1036" t="str">
            <v>Uống</v>
          </cell>
        </row>
        <row r="1037">
          <cell r="B1037">
            <v>1022</v>
          </cell>
          <cell r="C1037" t="str">
            <v>Vitamin A + D2 (Vitamin A + D3)</v>
          </cell>
          <cell r="D1037" t="str">
            <v>Uống</v>
          </cell>
        </row>
        <row r="1038">
          <cell r="B1038">
            <v>1023</v>
          </cell>
          <cell r="C1038" t="str">
            <v>Vitamin B1</v>
          </cell>
          <cell r="D1038" t="str">
            <v>Tiêm/truyền, uống</v>
          </cell>
        </row>
        <row r="1039">
          <cell r="B1039">
            <v>1024</v>
          </cell>
          <cell r="C1039" t="str">
            <v>Vitamin B1 + B6 + B12</v>
          </cell>
          <cell r="D1039" t="str">
            <v>Tiêm/truyền</v>
          </cell>
        </row>
        <row r="1040">
          <cell r="B1040">
            <v>1025</v>
          </cell>
          <cell r="C1040" t="str">
            <v xml:space="preserve">Vitamin B2 </v>
          </cell>
          <cell r="D1040" t="str">
            <v>Uống</v>
          </cell>
        </row>
        <row r="1041">
          <cell r="B1041">
            <v>1026</v>
          </cell>
          <cell r="C1041" t="str">
            <v xml:space="preserve">Vitamin B3 </v>
          </cell>
          <cell r="D1041" t="str">
            <v>Tiêm, uống</v>
          </cell>
        </row>
        <row r="1042">
          <cell r="B1042">
            <v>1027</v>
          </cell>
          <cell r="C1042" t="str">
            <v xml:space="preserve">Vitamin B5 </v>
          </cell>
          <cell r="D1042" t="str">
            <v>Tiêm, uống, dùng ngoài</v>
          </cell>
        </row>
        <row r="1043">
          <cell r="B1043">
            <v>1028</v>
          </cell>
          <cell r="C1043" t="str">
            <v xml:space="preserve">Vitamin B6 </v>
          </cell>
          <cell r="D1043" t="str">
            <v>Tiêm, uống</v>
          </cell>
        </row>
        <row r="1044">
          <cell r="B1044">
            <v>1029</v>
          </cell>
          <cell r="C1044" t="str">
            <v>Vitamin B6 + magnesi lactat</v>
          </cell>
          <cell r="D1044" t="str">
            <v>Uống</v>
          </cell>
        </row>
        <row r="1045">
          <cell r="B1045">
            <v>1030</v>
          </cell>
          <cell r="C1045" t="str">
            <v>Vitamin B12  
(cyanocobalamin,  
hydroxocobalamin)</v>
          </cell>
          <cell r="D1045" t="str">
            <v>Tiêm, uống</v>
          </cell>
        </row>
        <row r="1046">
          <cell r="B1046">
            <v>1031</v>
          </cell>
          <cell r="C1046" t="str">
            <v>Vitamin C</v>
          </cell>
          <cell r="D1046" t="str">
            <v>Uống</v>
          </cell>
        </row>
        <row r="1047">
          <cell r="B1047">
            <v>1032</v>
          </cell>
          <cell r="C1047" t="str">
            <v xml:space="preserve">Vitamin D2 </v>
          </cell>
          <cell r="D1047" t="str">
            <v>Uống</v>
          </cell>
        </row>
        <row r="1048">
          <cell r="B1048">
            <v>1033</v>
          </cell>
          <cell r="C1048" t="str">
            <v xml:space="preserve">Vitamin D3 </v>
          </cell>
          <cell r="D1048" t="str">
            <v>Uống</v>
          </cell>
        </row>
        <row r="1049">
          <cell r="B1049">
            <v>1034</v>
          </cell>
          <cell r="C1049" t="str">
            <v>Vitamin E</v>
          </cell>
          <cell r="D1049" t="str">
            <v>Uống</v>
          </cell>
        </row>
        <row r="1050">
          <cell r="B1050">
            <v>1035</v>
          </cell>
          <cell r="C1050" t="str">
            <v xml:space="preserve">Vitamin H (B8) </v>
          </cell>
          <cell r="D1050" t="str">
            <v>Uống</v>
          </cell>
        </row>
        <row r="1051">
          <cell r="B1051">
            <v>1036</v>
          </cell>
          <cell r="C1051" t="str">
            <v xml:space="preserve">Vitamin K </v>
          </cell>
          <cell r="D1051" t="str">
            <v>Tiêm, uống</v>
          </cell>
        </row>
        <row r="1052">
          <cell r="B1052">
            <v>1037</v>
          </cell>
          <cell r="C1052" t="str">
            <v>Vitamin PP</v>
          </cell>
          <cell r="D1052" t="str">
            <v>Uống</v>
          </cell>
        </row>
      </sheetData>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FCE34E-6FC3-4238-874B-003E97EDB8C6}">
  <we:reference id="WA200009404" version="1.0.0.8" store="Omex" storeType="OMEX"/>
  <we:alternateReferences>
    <we:reference id="WA200009404" version="1.0.0.8" store="WA200009404" storeType="OMEX"/>
  </we:alternateReferences>
  <we:properties>
    <we:property name="claude.fileId" value="&quot;4e255fc6-73d0-4c24-a013-41f4bf03776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W125"/>
  <sheetViews>
    <sheetView tabSelected="1" zoomScale="70" zoomScaleNormal="70" workbookViewId="0">
      <pane xSplit="6" ySplit="4" topLeftCell="L5" activePane="bottomRight" state="frozen"/>
      <selection pane="topRight" activeCell="H1" sqref="H1"/>
      <selection pane="bottomLeft" activeCell="A8" sqref="A8"/>
      <selection pane="bottomRight" activeCell="S7" sqref="S7"/>
    </sheetView>
  </sheetViews>
  <sheetFormatPr defaultColWidth="9.19921875" defaultRowHeight="15.75" x14ac:dyDescent="0.45"/>
  <cols>
    <col min="1" max="2" width="5.6640625" style="2" customWidth="1"/>
    <col min="3" max="3" width="7.796875" style="6" customWidth="1"/>
    <col min="4" max="4" width="20.1328125" style="1" customWidth="1"/>
    <col min="5" max="5" width="25.53125" style="2" customWidth="1"/>
    <col min="6" max="6" width="20.1328125" style="6" customWidth="1"/>
    <col min="7" max="7" width="11.53125" style="8" customWidth="1"/>
    <col min="8" max="8" width="12.53125" style="11" customWidth="1"/>
    <col min="9" max="9" width="10.86328125" style="2" customWidth="1"/>
    <col min="10" max="10" width="10.46484375" style="6" customWidth="1"/>
    <col min="11" max="11" width="17.19921875" style="8" customWidth="1"/>
    <col min="12" max="12" width="17.86328125" style="7" customWidth="1"/>
    <col min="13" max="13" width="9.53125" style="8" customWidth="1"/>
    <col min="14" max="14" width="7.46484375" style="6" customWidth="1"/>
    <col min="15" max="15" width="11.46484375" style="9" customWidth="1"/>
    <col min="16" max="16" width="11.19921875" style="10" bestFit="1" customWidth="1"/>
    <col min="17" max="17" width="11.19921875" style="10" customWidth="1"/>
    <col min="18" max="18" width="15.46484375" style="10" customWidth="1"/>
    <col min="19" max="19" width="23.796875" style="11" customWidth="1"/>
    <col min="20" max="20" width="24.33203125" style="11" customWidth="1"/>
    <col min="21" max="21" width="23.53125" style="11" customWidth="1"/>
    <col min="22" max="22" width="9.1328125" style="7" hidden="1" customWidth="1"/>
    <col min="23" max="23" width="51.1328125" style="2" customWidth="1"/>
    <col min="24" max="25" width="9.19921875" style="5" customWidth="1"/>
    <col min="26" max="16384" width="9.19921875" style="5"/>
  </cols>
  <sheetData>
    <row r="1" spans="1:23" x14ac:dyDescent="0.45">
      <c r="A1" s="39" t="s">
        <v>36</v>
      </c>
      <c r="B1" s="39"/>
      <c r="C1" s="39"/>
      <c r="D1" s="39"/>
      <c r="E1" s="39"/>
      <c r="F1" s="39"/>
      <c r="G1" s="39"/>
      <c r="H1" s="39"/>
      <c r="I1" s="39"/>
      <c r="J1" s="39"/>
      <c r="K1" s="39"/>
      <c r="L1" s="39"/>
      <c r="M1" s="39"/>
      <c r="N1" s="39"/>
      <c r="O1" s="39"/>
      <c r="P1" s="39"/>
      <c r="Q1" s="39"/>
      <c r="R1" s="39"/>
      <c r="S1" s="39"/>
      <c r="T1" s="39"/>
      <c r="U1" s="39"/>
      <c r="V1" s="16"/>
      <c r="W1" s="5"/>
    </row>
    <row r="2" spans="1:23" ht="16.25" customHeight="1" x14ac:dyDescent="0.45">
      <c r="A2" s="40" t="s">
        <v>37</v>
      </c>
      <c r="B2" s="40"/>
      <c r="C2" s="40"/>
      <c r="D2" s="40"/>
      <c r="E2" s="40"/>
      <c r="F2" s="40"/>
      <c r="G2" s="40"/>
      <c r="H2" s="40"/>
      <c r="I2" s="40"/>
      <c r="J2" s="40"/>
      <c r="K2" s="40"/>
      <c r="L2" s="40"/>
      <c r="M2" s="40"/>
      <c r="N2" s="40"/>
      <c r="O2" s="40"/>
      <c r="P2" s="40"/>
      <c r="Q2" s="40"/>
      <c r="R2" s="40"/>
      <c r="S2" s="40"/>
      <c r="T2" s="40"/>
      <c r="U2" s="40"/>
      <c r="V2" s="18"/>
      <c r="W2" s="5"/>
    </row>
    <row r="4" spans="1:23" s="4" customFormat="1" ht="45" x14ac:dyDescent="0.45">
      <c r="A4" s="12" t="s">
        <v>0</v>
      </c>
      <c r="B4" s="12" t="s">
        <v>14</v>
      </c>
      <c r="C4" s="12" t="s">
        <v>27</v>
      </c>
      <c r="D4" s="12" t="s">
        <v>1</v>
      </c>
      <c r="E4" s="12" t="s">
        <v>2</v>
      </c>
      <c r="F4" s="12" t="s">
        <v>30</v>
      </c>
      <c r="G4" s="12" t="s">
        <v>7</v>
      </c>
      <c r="H4" s="12" t="s">
        <v>5</v>
      </c>
      <c r="I4" s="12" t="s">
        <v>6</v>
      </c>
      <c r="J4" s="12" t="s">
        <v>10</v>
      </c>
      <c r="K4" s="12" t="s">
        <v>13</v>
      </c>
      <c r="L4" s="12" t="s">
        <v>11</v>
      </c>
      <c r="M4" s="12" t="s">
        <v>8</v>
      </c>
      <c r="N4" s="12" t="s">
        <v>3</v>
      </c>
      <c r="O4" s="14" t="s">
        <v>9</v>
      </c>
      <c r="P4" s="13" t="s">
        <v>16</v>
      </c>
      <c r="Q4" s="13" t="s">
        <v>31</v>
      </c>
      <c r="R4" s="12" t="s">
        <v>15</v>
      </c>
      <c r="S4" s="12" t="s">
        <v>4</v>
      </c>
      <c r="T4" s="12" t="s">
        <v>32</v>
      </c>
      <c r="U4" s="12" t="s">
        <v>33</v>
      </c>
      <c r="V4" s="12" t="s">
        <v>12</v>
      </c>
    </row>
    <row r="5" spans="1:23" s="38" customFormat="1" ht="46.15" x14ac:dyDescent="0.45">
      <c r="A5" s="36">
        <v>1</v>
      </c>
      <c r="B5" s="36">
        <v>563</v>
      </c>
      <c r="C5" s="36" t="s">
        <v>778</v>
      </c>
      <c r="D5" s="36" t="s">
        <v>833</v>
      </c>
      <c r="E5" s="36" t="s">
        <v>834</v>
      </c>
      <c r="F5" s="36" t="s">
        <v>250</v>
      </c>
      <c r="G5" s="36" t="s">
        <v>177</v>
      </c>
      <c r="H5" s="36" t="s">
        <v>382</v>
      </c>
      <c r="I5" s="36" t="s">
        <v>835</v>
      </c>
      <c r="J5" s="36"/>
      <c r="K5" s="36" t="s">
        <v>836</v>
      </c>
      <c r="L5" s="36" t="s">
        <v>837</v>
      </c>
      <c r="M5" s="36" t="s">
        <v>513</v>
      </c>
      <c r="N5" s="36" t="s">
        <v>545</v>
      </c>
      <c r="O5" s="37">
        <v>378</v>
      </c>
      <c r="P5" s="28">
        <v>8200</v>
      </c>
      <c r="Q5" s="41"/>
      <c r="R5" s="36" t="s">
        <v>838</v>
      </c>
      <c r="S5" s="36"/>
      <c r="T5" s="36"/>
      <c r="U5" s="36"/>
      <c r="V5" s="36"/>
    </row>
    <row r="6" spans="1:23" s="4" customFormat="1" ht="46.15" x14ac:dyDescent="0.45">
      <c r="A6" s="15">
        <v>2</v>
      </c>
      <c r="B6" s="15">
        <v>5</v>
      </c>
      <c r="C6" s="15" t="s">
        <v>774</v>
      </c>
      <c r="D6" s="3" t="s">
        <v>39</v>
      </c>
      <c r="E6" s="3" t="s">
        <v>154</v>
      </c>
      <c r="F6" s="15" t="s">
        <v>155</v>
      </c>
      <c r="G6" s="15" t="s">
        <v>156</v>
      </c>
      <c r="H6" s="19" t="s">
        <v>364</v>
      </c>
      <c r="I6" s="3" t="s">
        <v>365</v>
      </c>
      <c r="J6" s="15" t="s">
        <v>510</v>
      </c>
      <c r="K6" s="15" t="s">
        <v>511</v>
      </c>
      <c r="L6" s="3" t="s">
        <v>512</v>
      </c>
      <c r="M6" s="15" t="s">
        <v>513</v>
      </c>
      <c r="N6" s="15" t="s">
        <v>514</v>
      </c>
      <c r="O6" s="30">
        <v>8000</v>
      </c>
      <c r="P6" s="28">
        <v>3990</v>
      </c>
      <c r="Q6" s="28">
        <f>ROUNDDOWN((P6*30%),0)</f>
        <v>1197</v>
      </c>
      <c r="R6" s="27" t="s">
        <v>779</v>
      </c>
      <c r="S6" s="36"/>
      <c r="T6" s="15"/>
      <c r="U6" s="15"/>
      <c r="V6" s="32" t="s">
        <v>780</v>
      </c>
    </row>
    <row r="7" spans="1:23" s="4" customFormat="1" ht="107.65" x14ac:dyDescent="0.45">
      <c r="A7" s="36">
        <v>3</v>
      </c>
      <c r="B7" s="36">
        <v>7</v>
      </c>
      <c r="C7" s="15" t="s">
        <v>775</v>
      </c>
      <c r="D7" s="3" t="s">
        <v>40</v>
      </c>
      <c r="E7" s="3" t="s">
        <v>157</v>
      </c>
      <c r="F7" s="15" t="s">
        <v>158</v>
      </c>
      <c r="G7" s="15" t="s">
        <v>156</v>
      </c>
      <c r="H7" s="19" t="s">
        <v>366</v>
      </c>
      <c r="I7" s="3" t="s">
        <v>367</v>
      </c>
      <c r="J7" s="15" t="s">
        <v>515</v>
      </c>
      <c r="K7" s="15" t="s">
        <v>516</v>
      </c>
      <c r="L7" s="3" t="s">
        <v>517</v>
      </c>
      <c r="M7" s="15" t="s">
        <v>518</v>
      </c>
      <c r="N7" s="15" t="s">
        <v>514</v>
      </c>
      <c r="O7" s="30">
        <v>28000</v>
      </c>
      <c r="P7" s="28">
        <v>15720</v>
      </c>
      <c r="Q7" s="28">
        <f>ROUNDDOWN((P7*30%),0)</f>
        <v>4716</v>
      </c>
      <c r="R7" s="27" t="s">
        <v>779</v>
      </c>
      <c r="S7" s="36"/>
      <c r="T7" s="15"/>
      <c r="U7" s="15"/>
      <c r="V7" s="32" t="s">
        <v>781</v>
      </c>
    </row>
    <row r="8" spans="1:23" s="4" customFormat="1" ht="30.75" x14ac:dyDescent="0.45">
      <c r="A8" s="15">
        <v>4</v>
      </c>
      <c r="B8" s="15">
        <v>16</v>
      </c>
      <c r="C8" s="15" t="s">
        <v>776</v>
      </c>
      <c r="D8" s="3" t="s">
        <v>41</v>
      </c>
      <c r="E8" s="3" t="s">
        <v>159</v>
      </c>
      <c r="F8" s="15" t="s">
        <v>160</v>
      </c>
      <c r="G8" s="15" t="s">
        <v>156</v>
      </c>
      <c r="H8" s="19" t="s">
        <v>364</v>
      </c>
      <c r="I8" s="3" t="s">
        <v>368</v>
      </c>
      <c r="J8" s="15" t="s">
        <v>510</v>
      </c>
      <c r="K8" s="15" t="s">
        <v>519</v>
      </c>
      <c r="L8" s="3" t="s">
        <v>520</v>
      </c>
      <c r="M8" s="15" t="s">
        <v>521</v>
      </c>
      <c r="N8" s="15" t="s">
        <v>514</v>
      </c>
      <c r="O8" s="30">
        <v>48968</v>
      </c>
      <c r="P8" s="28">
        <v>10350</v>
      </c>
      <c r="Q8" s="28">
        <f>ROUNDDOWN((P8*30%),0)</f>
        <v>3105</v>
      </c>
      <c r="R8" s="27" t="s">
        <v>779</v>
      </c>
      <c r="S8" s="36"/>
      <c r="T8" s="15"/>
      <c r="U8" s="15"/>
      <c r="V8" s="32" t="s">
        <v>781</v>
      </c>
    </row>
    <row r="9" spans="1:23" ht="30.75" x14ac:dyDescent="0.45">
      <c r="A9" s="36">
        <v>5</v>
      </c>
      <c r="B9" s="36">
        <v>20</v>
      </c>
      <c r="C9" s="15" t="s">
        <v>776</v>
      </c>
      <c r="D9" s="3" t="s">
        <v>42</v>
      </c>
      <c r="E9" s="3" t="s">
        <v>161</v>
      </c>
      <c r="F9" s="15" t="s">
        <v>162</v>
      </c>
      <c r="G9" s="15" t="s">
        <v>163</v>
      </c>
      <c r="H9" s="19" t="s">
        <v>369</v>
      </c>
      <c r="I9" s="3" t="s">
        <v>370</v>
      </c>
      <c r="J9" s="15" t="s">
        <v>522</v>
      </c>
      <c r="K9" s="15" t="s">
        <v>523</v>
      </c>
      <c r="L9" s="3" t="s">
        <v>524</v>
      </c>
      <c r="M9" s="15" t="s">
        <v>525</v>
      </c>
      <c r="N9" s="15" t="s">
        <v>526</v>
      </c>
      <c r="O9" s="30">
        <v>39380</v>
      </c>
      <c r="P9" s="28">
        <v>120</v>
      </c>
      <c r="Q9" s="28">
        <f>ROUNDDOWN((P9*30%),0)</f>
        <v>36</v>
      </c>
      <c r="R9" s="27" t="s">
        <v>779</v>
      </c>
      <c r="S9" s="36"/>
      <c r="T9" s="15"/>
      <c r="U9" s="15"/>
      <c r="V9" s="32" t="s">
        <v>782</v>
      </c>
      <c r="W9" s="5"/>
    </row>
    <row r="10" spans="1:23" ht="46.15" x14ac:dyDescent="0.45">
      <c r="A10" s="15">
        <v>6</v>
      </c>
      <c r="B10" s="15">
        <v>22</v>
      </c>
      <c r="C10" s="15" t="s">
        <v>774</v>
      </c>
      <c r="D10" s="3" t="s">
        <v>43</v>
      </c>
      <c r="E10" s="3" t="s">
        <v>164</v>
      </c>
      <c r="F10" s="15" t="s">
        <v>165</v>
      </c>
      <c r="G10" s="15" t="s">
        <v>156</v>
      </c>
      <c r="H10" s="19" t="s">
        <v>364</v>
      </c>
      <c r="I10" s="3" t="s">
        <v>371</v>
      </c>
      <c r="J10" s="15" t="s">
        <v>510</v>
      </c>
      <c r="K10" s="15" t="s">
        <v>527</v>
      </c>
      <c r="L10" s="3" t="s">
        <v>528</v>
      </c>
      <c r="M10" s="15" t="s">
        <v>529</v>
      </c>
      <c r="N10" s="15" t="s">
        <v>514</v>
      </c>
      <c r="O10" s="30">
        <v>90000</v>
      </c>
      <c r="P10" s="28">
        <v>2000</v>
      </c>
      <c r="Q10" s="28">
        <f>ROUNDDOWN((P10*30%),0)</f>
        <v>600</v>
      </c>
      <c r="R10" s="27" t="s">
        <v>779</v>
      </c>
      <c r="S10" s="36"/>
      <c r="T10" s="15"/>
      <c r="U10" s="15"/>
      <c r="V10" s="32" t="s">
        <v>783</v>
      </c>
      <c r="W10" s="5"/>
    </row>
    <row r="11" spans="1:23" ht="46.15" x14ac:dyDescent="0.45">
      <c r="A11" s="36">
        <v>7</v>
      </c>
      <c r="B11" s="36">
        <v>30</v>
      </c>
      <c r="C11" s="15" t="s">
        <v>776</v>
      </c>
      <c r="D11" s="3" t="s">
        <v>44</v>
      </c>
      <c r="E11" s="3" t="s">
        <v>166</v>
      </c>
      <c r="F11" s="15" t="s">
        <v>167</v>
      </c>
      <c r="G11" s="15" t="s">
        <v>168</v>
      </c>
      <c r="H11" s="19" t="s">
        <v>372</v>
      </c>
      <c r="I11" s="3" t="s">
        <v>373</v>
      </c>
      <c r="J11" s="15" t="s">
        <v>530</v>
      </c>
      <c r="K11" s="15" t="s">
        <v>531</v>
      </c>
      <c r="L11" s="3" t="s">
        <v>532</v>
      </c>
      <c r="M11" s="15" t="s">
        <v>533</v>
      </c>
      <c r="N11" s="15" t="s">
        <v>526</v>
      </c>
      <c r="O11" s="30">
        <v>87300</v>
      </c>
      <c r="P11" s="28">
        <v>20400</v>
      </c>
      <c r="Q11" s="28">
        <f>ROUNDDOWN((P11*30%),0)</f>
        <v>6120</v>
      </c>
      <c r="R11" s="27" t="s">
        <v>779</v>
      </c>
      <c r="S11" s="36"/>
      <c r="T11" s="15"/>
      <c r="U11" s="15"/>
      <c r="V11" s="32" t="s">
        <v>784</v>
      </c>
      <c r="W11" s="5"/>
    </row>
    <row r="12" spans="1:23" ht="46.15" x14ac:dyDescent="0.45">
      <c r="A12" s="15">
        <v>8</v>
      </c>
      <c r="B12" s="15">
        <v>30</v>
      </c>
      <c r="C12" s="15" t="s">
        <v>774</v>
      </c>
      <c r="D12" s="3" t="s">
        <v>45</v>
      </c>
      <c r="E12" s="3" t="s">
        <v>166</v>
      </c>
      <c r="F12" s="15" t="s">
        <v>169</v>
      </c>
      <c r="G12" s="15" t="s">
        <v>170</v>
      </c>
      <c r="H12" s="19" t="s">
        <v>364</v>
      </c>
      <c r="I12" s="3" t="s">
        <v>374</v>
      </c>
      <c r="J12" s="15" t="s">
        <v>510</v>
      </c>
      <c r="K12" s="15" t="s">
        <v>534</v>
      </c>
      <c r="L12" s="3" t="s">
        <v>528</v>
      </c>
      <c r="M12" s="15" t="s">
        <v>529</v>
      </c>
      <c r="N12" s="15" t="s">
        <v>514</v>
      </c>
      <c r="O12" s="30">
        <v>41000</v>
      </c>
      <c r="P12" s="28">
        <v>13300</v>
      </c>
      <c r="Q12" s="28">
        <f>ROUNDDOWN((P12*30%),0)</f>
        <v>3990</v>
      </c>
      <c r="R12" s="27" t="s">
        <v>779</v>
      </c>
      <c r="S12" s="36"/>
      <c r="T12" s="15"/>
      <c r="U12" s="15"/>
      <c r="V12" s="32" t="s">
        <v>783</v>
      </c>
      <c r="W12" s="5"/>
    </row>
    <row r="13" spans="1:23" ht="92.25" x14ac:dyDescent="0.45">
      <c r="A13" s="36">
        <v>9</v>
      </c>
      <c r="B13" s="36">
        <v>34</v>
      </c>
      <c r="C13" s="15" t="s">
        <v>774</v>
      </c>
      <c r="D13" s="3" t="s">
        <v>46</v>
      </c>
      <c r="E13" s="3" t="s">
        <v>171</v>
      </c>
      <c r="F13" s="15" t="s">
        <v>172</v>
      </c>
      <c r="G13" s="15" t="s">
        <v>156</v>
      </c>
      <c r="H13" s="19" t="s">
        <v>375</v>
      </c>
      <c r="I13" s="3" t="s">
        <v>376</v>
      </c>
      <c r="J13" s="15" t="s">
        <v>535</v>
      </c>
      <c r="K13" s="15" t="s">
        <v>536</v>
      </c>
      <c r="L13" s="3" t="s">
        <v>537</v>
      </c>
      <c r="M13" s="15" t="s">
        <v>513</v>
      </c>
      <c r="N13" s="15" t="s">
        <v>526</v>
      </c>
      <c r="O13" s="30">
        <v>84000</v>
      </c>
      <c r="P13" s="28">
        <v>4000</v>
      </c>
      <c r="Q13" s="28">
        <f>ROUNDDOWN((P13*30%),0)</f>
        <v>1200</v>
      </c>
      <c r="R13" s="27" t="s">
        <v>779</v>
      </c>
      <c r="S13" s="36"/>
      <c r="T13" s="15"/>
      <c r="U13" s="15"/>
      <c r="V13" s="32" t="s">
        <v>785</v>
      </c>
      <c r="W13" s="5"/>
    </row>
    <row r="14" spans="1:23" ht="61.5" x14ac:dyDescent="0.45">
      <c r="A14" s="15">
        <v>10</v>
      </c>
      <c r="B14" s="15">
        <v>37</v>
      </c>
      <c r="C14" s="15" t="s">
        <v>776</v>
      </c>
      <c r="D14" s="3" t="s">
        <v>47</v>
      </c>
      <c r="E14" s="3" t="s">
        <v>173</v>
      </c>
      <c r="F14" s="15" t="s">
        <v>174</v>
      </c>
      <c r="G14" s="15" t="s">
        <v>156</v>
      </c>
      <c r="H14" s="19" t="s">
        <v>377</v>
      </c>
      <c r="I14" s="3" t="s">
        <v>378</v>
      </c>
      <c r="J14" s="15" t="s">
        <v>530</v>
      </c>
      <c r="K14" s="15" t="s">
        <v>538</v>
      </c>
      <c r="L14" s="3" t="s">
        <v>539</v>
      </c>
      <c r="M14" s="15" t="s">
        <v>540</v>
      </c>
      <c r="N14" s="15" t="s">
        <v>514</v>
      </c>
      <c r="O14" s="30">
        <v>19698</v>
      </c>
      <c r="P14" s="28">
        <v>1460</v>
      </c>
      <c r="Q14" s="28">
        <f>ROUNDDOWN((P14*30%),0)</f>
        <v>438</v>
      </c>
      <c r="R14" s="27" t="s">
        <v>779</v>
      </c>
      <c r="S14" s="36"/>
      <c r="T14" s="15"/>
      <c r="U14" s="15"/>
      <c r="V14" s="33" t="s">
        <v>782</v>
      </c>
    </row>
    <row r="15" spans="1:23" ht="30.75" x14ac:dyDescent="0.45">
      <c r="A15" s="36">
        <v>11</v>
      </c>
      <c r="B15" s="36">
        <v>77</v>
      </c>
      <c r="C15" s="15" t="s">
        <v>776</v>
      </c>
      <c r="D15" s="3" t="s">
        <v>48</v>
      </c>
      <c r="E15" s="3" t="s">
        <v>175</v>
      </c>
      <c r="F15" s="15" t="s">
        <v>176</v>
      </c>
      <c r="G15" s="15" t="s">
        <v>177</v>
      </c>
      <c r="H15" s="19" t="s">
        <v>379</v>
      </c>
      <c r="I15" s="3" t="s">
        <v>380</v>
      </c>
      <c r="J15" s="15" t="s">
        <v>541</v>
      </c>
      <c r="K15" s="15" t="s">
        <v>542</v>
      </c>
      <c r="L15" s="3" t="s">
        <v>543</v>
      </c>
      <c r="M15" s="15" t="s">
        <v>544</v>
      </c>
      <c r="N15" s="15" t="s">
        <v>545</v>
      </c>
      <c r="O15" s="30">
        <v>5400</v>
      </c>
      <c r="P15" s="28">
        <v>1500</v>
      </c>
      <c r="Q15" s="28">
        <f>ROUNDDOWN((P15*30%),0)</f>
        <v>450</v>
      </c>
      <c r="R15" s="27" t="s">
        <v>779</v>
      </c>
      <c r="S15" s="36"/>
      <c r="T15" s="15"/>
      <c r="U15" s="15"/>
      <c r="V15" s="33" t="s">
        <v>786</v>
      </c>
    </row>
    <row r="16" spans="1:23" ht="61.5" x14ac:dyDescent="0.45">
      <c r="A16" s="15">
        <v>12</v>
      </c>
      <c r="B16" s="15">
        <v>77</v>
      </c>
      <c r="C16" s="15" t="s">
        <v>774</v>
      </c>
      <c r="D16" s="3" t="s">
        <v>49</v>
      </c>
      <c r="E16" s="3" t="s">
        <v>175</v>
      </c>
      <c r="F16" s="15" t="s">
        <v>178</v>
      </c>
      <c r="G16" s="15" t="s">
        <v>177</v>
      </c>
      <c r="H16" s="19" t="s">
        <v>379</v>
      </c>
      <c r="I16" s="3" t="s">
        <v>381</v>
      </c>
      <c r="J16" s="15" t="s">
        <v>530</v>
      </c>
      <c r="K16" s="15" t="s">
        <v>546</v>
      </c>
      <c r="L16" s="3" t="s">
        <v>547</v>
      </c>
      <c r="M16" s="15" t="s">
        <v>513</v>
      </c>
      <c r="N16" s="15" t="s">
        <v>545</v>
      </c>
      <c r="O16" s="30">
        <v>600</v>
      </c>
      <c r="P16" s="28">
        <v>10410</v>
      </c>
      <c r="Q16" s="28">
        <f>ROUNDDOWN((P16*30%),0)</f>
        <v>3123</v>
      </c>
      <c r="R16" s="27" t="s">
        <v>779</v>
      </c>
      <c r="S16" s="36"/>
      <c r="T16" s="15"/>
      <c r="U16" s="15"/>
      <c r="V16" s="33" t="s">
        <v>787</v>
      </c>
    </row>
    <row r="17" spans="1:23" ht="61.5" x14ac:dyDescent="0.45">
      <c r="A17" s="36">
        <v>13</v>
      </c>
      <c r="B17" s="36">
        <v>106</v>
      </c>
      <c r="C17" s="15" t="s">
        <v>776</v>
      </c>
      <c r="D17" s="3" t="s">
        <v>50</v>
      </c>
      <c r="E17" s="3" t="s">
        <v>179</v>
      </c>
      <c r="F17" s="15" t="s">
        <v>180</v>
      </c>
      <c r="G17" s="15" t="s">
        <v>177</v>
      </c>
      <c r="H17" s="19" t="s">
        <v>382</v>
      </c>
      <c r="I17" s="3" t="s">
        <v>383</v>
      </c>
      <c r="J17" s="15" t="s">
        <v>510</v>
      </c>
      <c r="K17" s="15" t="s">
        <v>548</v>
      </c>
      <c r="L17" s="3" t="s">
        <v>549</v>
      </c>
      <c r="M17" s="15" t="s">
        <v>513</v>
      </c>
      <c r="N17" s="15" t="s">
        <v>545</v>
      </c>
      <c r="O17" s="30">
        <v>8028</v>
      </c>
      <c r="P17" s="28">
        <v>4840</v>
      </c>
      <c r="Q17" s="28">
        <f>ROUNDDOWN((P17*30%),0)</f>
        <v>1452</v>
      </c>
      <c r="R17" s="27" t="s">
        <v>779</v>
      </c>
      <c r="S17" s="36"/>
      <c r="T17" s="15"/>
      <c r="U17" s="15"/>
      <c r="V17" s="34" t="s">
        <v>788</v>
      </c>
      <c r="W17" s="5"/>
    </row>
    <row r="18" spans="1:23" ht="61.5" x14ac:dyDescent="0.45">
      <c r="A18" s="15">
        <v>14</v>
      </c>
      <c r="B18" s="15">
        <v>121</v>
      </c>
      <c r="C18" s="15" t="s">
        <v>776</v>
      </c>
      <c r="D18" s="3" t="s">
        <v>51</v>
      </c>
      <c r="E18" s="3" t="s">
        <v>181</v>
      </c>
      <c r="F18" s="15" t="s">
        <v>182</v>
      </c>
      <c r="G18" s="15" t="s">
        <v>183</v>
      </c>
      <c r="H18" s="19" t="s">
        <v>384</v>
      </c>
      <c r="I18" s="3" t="s">
        <v>385</v>
      </c>
      <c r="J18" s="15" t="s">
        <v>510</v>
      </c>
      <c r="K18" s="15" t="s">
        <v>550</v>
      </c>
      <c r="L18" s="3" t="s">
        <v>551</v>
      </c>
      <c r="M18" s="15" t="s">
        <v>552</v>
      </c>
      <c r="N18" s="15" t="s">
        <v>514</v>
      </c>
      <c r="O18" s="30">
        <v>57750</v>
      </c>
      <c r="P18" s="28">
        <v>3960</v>
      </c>
      <c r="Q18" s="28">
        <f>ROUNDDOWN((P18*30%),0)</f>
        <v>1188</v>
      </c>
      <c r="R18" s="27" t="s">
        <v>779</v>
      </c>
      <c r="S18" s="36"/>
      <c r="T18" s="15"/>
      <c r="U18" s="15"/>
      <c r="V18" s="34" t="s">
        <v>780</v>
      </c>
      <c r="W18" s="5"/>
    </row>
    <row r="19" spans="1:23" ht="46.15" x14ac:dyDescent="0.45">
      <c r="A19" s="36">
        <v>15</v>
      </c>
      <c r="B19" s="36">
        <v>131</v>
      </c>
      <c r="C19" s="15" t="s">
        <v>776</v>
      </c>
      <c r="D19" s="3" t="s">
        <v>52</v>
      </c>
      <c r="E19" s="3" t="s">
        <v>184</v>
      </c>
      <c r="F19" s="15" t="s">
        <v>185</v>
      </c>
      <c r="G19" s="15" t="s">
        <v>186</v>
      </c>
      <c r="H19" s="19" t="s">
        <v>384</v>
      </c>
      <c r="I19" s="3" t="s">
        <v>386</v>
      </c>
      <c r="J19" s="15" t="s">
        <v>530</v>
      </c>
      <c r="K19" s="15" t="s">
        <v>553</v>
      </c>
      <c r="L19" s="3" t="s">
        <v>554</v>
      </c>
      <c r="M19" s="15" t="s">
        <v>555</v>
      </c>
      <c r="N19" s="15" t="s">
        <v>556</v>
      </c>
      <c r="O19" s="30">
        <v>96900</v>
      </c>
      <c r="P19" s="28">
        <v>3420</v>
      </c>
      <c r="Q19" s="28">
        <f>ROUNDDOWN((P19*30%),0)</f>
        <v>1026</v>
      </c>
      <c r="R19" s="27" t="s">
        <v>779</v>
      </c>
      <c r="S19" s="36"/>
      <c r="T19" s="15"/>
      <c r="U19" s="15"/>
      <c r="V19" s="32" t="s">
        <v>780</v>
      </c>
      <c r="W19" s="5"/>
    </row>
    <row r="20" spans="1:23" ht="61.5" x14ac:dyDescent="0.45">
      <c r="A20" s="15">
        <v>16</v>
      </c>
      <c r="B20" s="15">
        <v>153</v>
      </c>
      <c r="C20" s="15" t="s">
        <v>775</v>
      </c>
      <c r="D20" s="3" t="s">
        <v>53</v>
      </c>
      <c r="E20" s="3" t="s">
        <v>187</v>
      </c>
      <c r="F20" s="15" t="s">
        <v>188</v>
      </c>
      <c r="G20" s="15" t="s">
        <v>156</v>
      </c>
      <c r="H20" s="19" t="s">
        <v>364</v>
      </c>
      <c r="I20" s="3" t="s">
        <v>387</v>
      </c>
      <c r="J20" s="15" t="s">
        <v>530</v>
      </c>
      <c r="K20" s="15" t="s">
        <v>557</v>
      </c>
      <c r="L20" s="3" t="s">
        <v>558</v>
      </c>
      <c r="M20" s="15" t="s">
        <v>513</v>
      </c>
      <c r="N20" s="15" t="s">
        <v>514</v>
      </c>
      <c r="O20" s="30">
        <v>12600</v>
      </c>
      <c r="P20" s="28">
        <v>580</v>
      </c>
      <c r="Q20" s="28">
        <f>ROUNDDOWN((P20*30%),0)</f>
        <v>174</v>
      </c>
      <c r="R20" s="27" t="s">
        <v>779</v>
      </c>
      <c r="S20" s="36"/>
      <c r="T20" s="15"/>
      <c r="U20" s="15"/>
      <c r="V20" s="32" t="s">
        <v>789</v>
      </c>
      <c r="W20" s="5"/>
    </row>
    <row r="21" spans="1:23" ht="46.15" x14ac:dyDescent="0.45">
      <c r="A21" s="36">
        <v>17</v>
      </c>
      <c r="B21" s="36">
        <v>157</v>
      </c>
      <c r="C21" s="15" t="s">
        <v>774</v>
      </c>
      <c r="D21" s="3" t="s">
        <v>54</v>
      </c>
      <c r="E21" s="3" t="s">
        <v>189</v>
      </c>
      <c r="F21" s="15" t="s">
        <v>190</v>
      </c>
      <c r="G21" s="15" t="s">
        <v>177</v>
      </c>
      <c r="H21" s="19" t="s">
        <v>388</v>
      </c>
      <c r="I21" s="3" t="s">
        <v>389</v>
      </c>
      <c r="J21" s="15" t="s">
        <v>510</v>
      </c>
      <c r="K21" s="15" t="s">
        <v>559</v>
      </c>
      <c r="L21" s="3" t="s">
        <v>558</v>
      </c>
      <c r="M21" s="15" t="s">
        <v>513</v>
      </c>
      <c r="N21" s="15" t="s">
        <v>545</v>
      </c>
      <c r="O21" s="30">
        <v>1260</v>
      </c>
      <c r="P21" s="28">
        <v>5480</v>
      </c>
      <c r="Q21" s="28">
        <f>ROUNDDOWN((P21*30%),0)</f>
        <v>1644</v>
      </c>
      <c r="R21" s="27" t="s">
        <v>779</v>
      </c>
      <c r="S21" s="36"/>
      <c r="T21" s="15"/>
      <c r="U21" s="15"/>
      <c r="V21" s="32" t="s">
        <v>789</v>
      </c>
      <c r="W21" s="5"/>
    </row>
    <row r="22" spans="1:23" ht="92.25" x14ac:dyDescent="0.45">
      <c r="A22" s="15">
        <v>18</v>
      </c>
      <c r="B22" s="15">
        <v>169</v>
      </c>
      <c r="C22" s="15" t="s">
        <v>777</v>
      </c>
      <c r="D22" s="3" t="s">
        <v>55</v>
      </c>
      <c r="E22" s="3" t="s">
        <v>191</v>
      </c>
      <c r="F22" s="15" t="s">
        <v>192</v>
      </c>
      <c r="G22" s="15" t="s">
        <v>177</v>
      </c>
      <c r="H22" s="19" t="s">
        <v>390</v>
      </c>
      <c r="I22" s="3" t="s">
        <v>391</v>
      </c>
      <c r="J22" s="15" t="s">
        <v>510</v>
      </c>
      <c r="K22" s="15" t="s">
        <v>560</v>
      </c>
      <c r="L22" s="3" t="s">
        <v>561</v>
      </c>
      <c r="M22" s="15" t="s">
        <v>513</v>
      </c>
      <c r="N22" s="15" t="s">
        <v>545</v>
      </c>
      <c r="O22" s="30">
        <v>4560</v>
      </c>
      <c r="P22" s="28">
        <v>34310</v>
      </c>
      <c r="Q22" s="28">
        <f>ROUNDDOWN((P22*30%),0)</f>
        <v>10293</v>
      </c>
      <c r="R22" s="27" t="s">
        <v>779</v>
      </c>
      <c r="S22" s="36"/>
      <c r="T22" s="15"/>
      <c r="U22" s="15"/>
      <c r="V22" s="32" t="s">
        <v>790</v>
      </c>
      <c r="W22" s="5"/>
    </row>
    <row r="23" spans="1:23" ht="30.75" x14ac:dyDescent="0.45">
      <c r="A23" s="36">
        <v>19</v>
      </c>
      <c r="B23" s="36">
        <v>169</v>
      </c>
      <c r="C23" s="15" t="s">
        <v>776</v>
      </c>
      <c r="D23" s="3" t="s">
        <v>56</v>
      </c>
      <c r="E23" s="3" t="s">
        <v>191</v>
      </c>
      <c r="F23" s="15" t="s">
        <v>193</v>
      </c>
      <c r="G23" s="15" t="s">
        <v>177</v>
      </c>
      <c r="H23" s="19" t="s">
        <v>382</v>
      </c>
      <c r="I23" s="3" t="s">
        <v>392</v>
      </c>
      <c r="J23" s="15" t="s">
        <v>530</v>
      </c>
      <c r="K23" s="15" t="s">
        <v>562</v>
      </c>
      <c r="L23" s="3" t="s">
        <v>563</v>
      </c>
      <c r="M23" s="15" t="s">
        <v>533</v>
      </c>
      <c r="N23" s="15" t="s">
        <v>545</v>
      </c>
      <c r="O23" s="30">
        <v>5946</v>
      </c>
      <c r="P23" s="28">
        <v>50000</v>
      </c>
      <c r="Q23" s="28">
        <f>ROUNDDOWN((P23*30%),0)</f>
        <v>15000</v>
      </c>
      <c r="R23" s="27" t="s">
        <v>779</v>
      </c>
      <c r="S23" s="36"/>
      <c r="T23" s="15"/>
      <c r="U23" s="15"/>
      <c r="V23" s="33" t="s">
        <v>784</v>
      </c>
    </row>
    <row r="24" spans="1:23" ht="30.75" x14ac:dyDescent="0.45">
      <c r="A24" s="15">
        <v>20</v>
      </c>
      <c r="B24" s="15">
        <v>172</v>
      </c>
      <c r="C24" s="15" t="s">
        <v>774</v>
      </c>
      <c r="D24" s="3" t="s">
        <v>57</v>
      </c>
      <c r="E24" s="3" t="s">
        <v>194</v>
      </c>
      <c r="F24" s="15" t="s">
        <v>195</v>
      </c>
      <c r="G24" s="15" t="s">
        <v>156</v>
      </c>
      <c r="H24" s="19" t="s">
        <v>393</v>
      </c>
      <c r="I24" s="3" t="s">
        <v>394</v>
      </c>
      <c r="J24" s="15" t="s">
        <v>510</v>
      </c>
      <c r="K24" s="15" t="s">
        <v>564</v>
      </c>
      <c r="L24" s="3" t="s">
        <v>565</v>
      </c>
      <c r="M24" s="15" t="s">
        <v>513</v>
      </c>
      <c r="N24" s="15" t="s">
        <v>526</v>
      </c>
      <c r="O24" s="30">
        <v>29250</v>
      </c>
      <c r="P24" s="28">
        <v>53110</v>
      </c>
      <c r="Q24" s="28">
        <f>ROUNDDOWN((P24*30%),0)</f>
        <v>15933</v>
      </c>
      <c r="R24" s="27" t="s">
        <v>779</v>
      </c>
      <c r="S24" s="36"/>
      <c r="T24" s="15"/>
      <c r="U24" s="15"/>
      <c r="V24" s="33" t="s">
        <v>791</v>
      </c>
    </row>
    <row r="25" spans="1:23" ht="61.5" x14ac:dyDescent="0.45">
      <c r="A25" s="36">
        <v>21</v>
      </c>
      <c r="B25" s="36">
        <v>180</v>
      </c>
      <c r="C25" s="15" t="s">
        <v>774</v>
      </c>
      <c r="D25" s="3" t="s">
        <v>58</v>
      </c>
      <c r="E25" s="3" t="s">
        <v>196</v>
      </c>
      <c r="F25" s="15" t="s">
        <v>197</v>
      </c>
      <c r="G25" s="15" t="s">
        <v>156</v>
      </c>
      <c r="H25" s="19" t="s">
        <v>393</v>
      </c>
      <c r="I25" s="3" t="s">
        <v>395</v>
      </c>
      <c r="J25" s="15" t="s">
        <v>510</v>
      </c>
      <c r="K25" s="15" t="s">
        <v>566</v>
      </c>
      <c r="L25" s="3" t="s">
        <v>567</v>
      </c>
      <c r="M25" s="15" t="s">
        <v>568</v>
      </c>
      <c r="N25" s="15" t="s">
        <v>526</v>
      </c>
      <c r="O25" s="30">
        <v>29000</v>
      </c>
      <c r="P25" s="28">
        <v>3650</v>
      </c>
      <c r="Q25" s="28">
        <f>ROUNDDOWN((P25*30%),0)</f>
        <v>1095</v>
      </c>
      <c r="R25" s="27" t="s">
        <v>779</v>
      </c>
      <c r="S25" s="36"/>
      <c r="T25" s="15"/>
      <c r="U25" s="15"/>
      <c r="V25" s="33" t="s">
        <v>792</v>
      </c>
    </row>
    <row r="26" spans="1:23" ht="76.900000000000006" x14ac:dyDescent="0.45">
      <c r="A26" s="15">
        <v>22</v>
      </c>
      <c r="B26" s="15">
        <v>225</v>
      </c>
      <c r="C26" s="15" t="s">
        <v>778</v>
      </c>
      <c r="D26" s="3" t="s">
        <v>59</v>
      </c>
      <c r="E26" s="3" t="s">
        <v>198</v>
      </c>
      <c r="F26" s="15" t="s">
        <v>199</v>
      </c>
      <c r="G26" s="15" t="s">
        <v>156</v>
      </c>
      <c r="H26" s="19" t="s">
        <v>396</v>
      </c>
      <c r="I26" s="3" t="s">
        <v>365</v>
      </c>
      <c r="J26" s="15" t="s">
        <v>510</v>
      </c>
      <c r="K26" s="15" t="s">
        <v>569</v>
      </c>
      <c r="L26" s="3" t="s">
        <v>520</v>
      </c>
      <c r="M26" s="15" t="s">
        <v>521</v>
      </c>
      <c r="N26" s="15" t="s">
        <v>514</v>
      </c>
      <c r="O26" s="30">
        <v>47000</v>
      </c>
      <c r="P26" s="28">
        <v>4600</v>
      </c>
      <c r="Q26" s="28">
        <f>ROUNDDOWN((P26*30%),0)</f>
        <v>1380</v>
      </c>
      <c r="R26" s="27" t="s">
        <v>779</v>
      </c>
      <c r="S26" s="36"/>
      <c r="T26" s="15"/>
      <c r="U26" s="15"/>
      <c r="V26" s="32" t="s">
        <v>793</v>
      </c>
      <c r="W26" s="5"/>
    </row>
    <row r="27" spans="1:23" ht="46.15" x14ac:dyDescent="0.45">
      <c r="A27" s="36">
        <v>23</v>
      </c>
      <c r="B27" s="36">
        <v>226</v>
      </c>
      <c r="C27" s="15" t="s">
        <v>777</v>
      </c>
      <c r="D27" s="3" t="s">
        <v>60</v>
      </c>
      <c r="E27" s="3" t="s">
        <v>60</v>
      </c>
      <c r="F27" s="15" t="s">
        <v>200</v>
      </c>
      <c r="G27" s="15" t="s">
        <v>177</v>
      </c>
      <c r="H27" s="19" t="s">
        <v>397</v>
      </c>
      <c r="I27" s="3" t="s">
        <v>398</v>
      </c>
      <c r="J27" s="15" t="s">
        <v>510</v>
      </c>
      <c r="K27" s="15" t="s">
        <v>570</v>
      </c>
      <c r="L27" s="3" t="s">
        <v>571</v>
      </c>
      <c r="M27" s="15" t="s">
        <v>513</v>
      </c>
      <c r="N27" s="15" t="s">
        <v>545</v>
      </c>
      <c r="O27" s="30">
        <v>2890</v>
      </c>
      <c r="P27" s="28">
        <v>4650</v>
      </c>
      <c r="Q27" s="28">
        <f>ROUNDDOWN((P27*30%),0)</f>
        <v>1395</v>
      </c>
      <c r="R27" s="27" t="s">
        <v>779</v>
      </c>
      <c r="S27" s="36"/>
      <c r="T27" s="15"/>
      <c r="U27" s="15"/>
      <c r="V27" s="32" t="s">
        <v>790</v>
      </c>
      <c r="W27" s="5"/>
    </row>
    <row r="28" spans="1:23" ht="61.5" x14ac:dyDescent="0.45">
      <c r="A28" s="15">
        <v>24</v>
      </c>
      <c r="B28" s="15">
        <v>234</v>
      </c>
      <c r="C28" s="15" t="s">
        <v>776</v>
      </c>
      <c r="D28" s="3" t="s">
        <v>61</v>
      </c>
      <c r="E28" s="3" t="s">
        <v>201</v>
      </c>
      <c r="F28" s="15" t="s">
        <v>202</v>
      </c>
      <c r="G28" s="15" t="s">
        <v>163</v>
      </c>
      <c r="H28" s="19" t="s">
        <v>369</v>
      </c>
      <c r="I28" s="3" t="s">
        <v>399</v>
      </c>
      <c r="J28" s="15" t="s">
        <v>510</v>
      </c>
      <c r="K28" s="15" t="s">
        <v>572</v>
      </c>
      <c r="L28" s="3" t="s">
        <v>573</v>
      </c>
      <c r="M28" s="15" t="s">
        <v>574</v>
      </c>
      <c r="N28" s="15" t="s">
        <v>526</v>
      </c>
      <c r="O28" s="30">
        <v>115999</v>
      </c>
      <c r="P28" s="28">
        <v>1200</v>
      </c>
      <c r="Q28" s="28">
        <f>ROUNDDOWN((P28*30%),0)</f>
        <v>360</v>
      </c>
      <c r="R28" s="27" t="s">
        <v>779</v>
      </c>
      <c r="S28" s="36"/>
      <c r="T28" s="15"/>
      <c r="U28" s="15"/>
      <c r="V28" s="35" t="s">
        <v>782</v>
      </c>
      <c r="W28" s="5"/>
    </row>
    <row r="29" spans="1:23" ht="46.15" x14ac:dyDescent="0.45">
      <c r="A29" s="36">
        <v>25</v>
      </c>
      <c r="B29" s="36">
        <v>239</v>
      </c>
      <c r="C29" s="15" t="s">
        <v>775</v>
      </c>
      <c r="D29" s="3" t="s">
        <v>62</v>
      </c>
      <c r="E29" s="3" t="s">
        <v>203</v>
      </c>
      <c r="F29" s="15" t="s">
        <v>204</v>
      </c>
      <c r="G29" s="15" t="s">
        <v>156</v>
      </c>
      <c r="H29" s="19" t="s">
        <v>384</v>
      </c>
      <c r="I29" s="3" t="s">
        <v>400</v>
      </c>
      <c r="J29" s="15" t="s">
        <v>530</v>
      </c>
      <c r="K29" s="15" t="s">
        <v>575</v>
      </c>
      <c r="L29" s="3" t="s">
        <v>576</v>
      </c>
      <c r="M29" s="15" t="s">
        <v>513</v>
      </c>
      <c r="N29" s="15" t="s">
        <v>577</v>
      </c>
      <c r="O29" s="30">
        <v>62500</v>
      </c>
      <c r="P29" s="28">
        <v>7800</v>
      </c>
      <c r="Q29" s="28">
        <f>ROUNDDOWN((P29*30%),0)</f>
        <v>2340</v>
      </c>
      <c r="R29" s="27" t="s">
        <v>779</v>
      </c>
      <c r="S29" s="36"/>
      <c r="T29" s="15"/>
      <c r="U29" s="15"/>
      <c r="V29" s="33" t="s">
        <v>794</v>
      </c>
    </row>
    <row r="30" spans="1:23" ht="30.75" x14ac:dyDescent="0.45">
      <c r="A30" s="15">
        <v>26</v>
      </c>
      <c r="B30" s="15">
        <v>241</v>
      </c>
      <c r="C30" s="15" t="s">
        <v>774</v>
      </c>
      <c r="D30" s="3" t="s">
        <v>63</v>
      </c>
      <c r="E30" s="3" t="s">
        <v>205</v>
      </c>
      <c r="F30" s="15" t="s">
        <v>206</v>
      </c>
      <c r="G30" s="15" t="s">
        <v>207</v>
      </c>
      <c r="H30" s="19" t="s">
        <v>401</v>
      </c>
      <c r="I30" s="3" t="s">
        <v>402</v>
      </c>
      <c r="J30" s="15" t="s">
        <v>510</v>
      </c>
      <c r="K30" s="15" t="s">
        <v>578</v>
      </c>
      <c r="L30" s="3" t="s">
        <v>579</v>
      </c>
      <c r="M30" s="15" t="s">
        <v>513</v>
      </c>
      <c r="N30" s="15" t="s">
        <v>580</v>
      </c>
      <c r="O30" s="30">
        <v>132000</v>
      </c>
      <c r="P30" s="28">
        <v>1560</v>
      </c>
      <c r="Q30" s="28">
        <f>ROUNDDOWN((P30*30%),0)</f>
        <v>468</v>
      </c>
      <c r="R30" s="27" t="s">
        <v>779</v>
      </c>
      <c r="S30" s="36"/>
      <c r="T30" s="15"/>
      <c r="U30" s="15"/>
      <c r="V30" s="35" t="s">
        <v>795</v>
      </c>
      <c r="W30" s="5"/>
    </row>
    <row r="31" spans="1:23" ht="46.15" x14ac:dyDescent="0.45">
      <c r="A31" s="36">
        <v>27</v>
      </c>
      <c r="B31" s="36">
        <v>278</v>
      </c>
      <c r="C31" s="15" t="s">
        <v>778</v>
      </c>
      <c r="D31" s="3" t="s">
        <v>64</v>
      </c>
      <c r="E31" s="3" t="s">
        <v>208</v>
      </c>
      <c r="F31" s="15" t="s">
        <v>209</v>
      </c>
      <c r="G31" s="15" t="s">
        <v>177</v>
      </c>
      <c r="H31" s="19" t="s">
        <v>382</v>
      </c>
      <c r="I31" s="3" t="s">
        <v>403</v>
      </c>
      <c r="J31" s="15" t="s">
        <v>510</v>
      </c>
      <c r="K31" s="15" t="s">
        <v>581</v>
      </c>
      <c r="L31" s="3" t="s">
        <v>582</v>
      </c>
      <c r="M31" s="15" t="s">
        <v>583</v>
      </c>
      <c r="N31" s="15" t="s">
        <v>545</v>
      </c>
      <c r="O31" s="30">
        <v>194000</v>
      </c>
      <c r="P31" s="28">
        <v>3192</v>
      </c>
      <c r="Q31" s="28">
        <f>ROUNDDOWN((P31*30%),0)</f>
        <v>957</v>
      </c>
      <c r="R31" s="27" t="s">
        <v>779</v>
      </c>
      <c r="S31" s="36" t="str">
        <f>VLOOKUP(B31,[1]GỐC!$B:$F,5,0)</f>
        <v>Quỹ bảo hiểm y tế thanh  toán 50%.</v>
      </c>
      <c r="T31" s="15"/>
      <c r="U31" s="15"/>
      <c r="V31" s="34" t="s">
        <v>796</v>
      </c>
      <c r="W31" s="5"/>
    </row>
    <row r="32" spans="1:23" ht="61.5" x14ac:dyDescent="0.45">
      <c r="A32" s="15">
        <v>28</v>
      </c>
      <c r="B32" s="15">
        <v>288</v>
      </c>
      <c r="C32" s="15" t="s">
        <v>775</v>
      </c>
      <c r="D32" s="3" t="s">
        <v>65</v>
      </c>
      <c r="E32" s="3" t="s">
        <v>210</v>
      </c>
      <c r="F32" s="15" t="s">
        <v>211</v>
      </c>
      <c r="G32" s="15" t="s">
        <v>186</v>
      </c>
      <c r="H32" s="19" t="s">
        <v>404</v>
      </c>
      <c r="I32" s="3" t="s">
        <v>405</v>
      </c>
      <c r="J32" s="15" t="s">
        <v>510</v>
      </c>
      <c r="K32" s="15" t="s">
        <v>584</v>
      </c>
      <c r="L32" s="3" t="s">
        <v>585</v>
      </c>
      <c r="M32" s="15" t="s">
        <v>583</v>
      </c>
      <c r="N32" s="15" t="s">
        <v>526</v>
      </c>
      <c r="O32" s="30">
        <v>200000</v>
      </c>
      <c r="P32" s="28">
        <v>190</v>
      </c>
      <c r="Q32" s="28">
        <f>ROUNDDOWN((P32*30%),0)</f>
        <v>57</v>
      </c>
      <c r="R32" s="27" t="s">
        <v>779</v>
      </c>
      <c r="S32" s="36" t="str">
        <f>VLOOKUP(B32,[1]GỐC!$B:$F,5,0)</f>
        <v>BBHC + Phiếu duyệt KS + Duyệt GĐ</v>
      </c>
      <c r="T32" s="15"/>
      <c r="U32" s="15"/>
      <c r="V32" s="32" t="s">
        <v>797</v>
      </c>
      <c r="W32" s="5"/>
    </row>
    <row r="33" spans="1:23" ht="123" x14ac:dyDescent="0.45">
      <c r="A33" s="36">
        <v>29</v>
      </c>
      <c r="B33" s="36">
        <v>288</v>
      </c>
      <c r="C33" s="15" t="s">
        <v>775</v>
      </c>
      <c r="D33" s="3" t="s">
        <v>66</v>
      </c>
      <c r="E33" s="3" t="s">
        <v>210</v>
      </c>
      <c r="F33" s="15" t="s">
        <v>212</v>
      </c>
      <c r="G33" s="15" t="s">
        <v>156</v>
      </c>
      <c r="H33" s="19" t="s">
        <v>406</v>
      </c>
      <c r="I33" s="3" t="s">
        <v>407</v>
      </c>
      <c r="J33" s="15" t="s">
        <v>510</v>
      </c>
      <c r="K33" s="15" t="s">
        <v>586</v>
      </c>
      <c r="L33" s="3" t="s">
        <v>587</v>
      </c>
      <c r="M33" s="15" t="s">
        <v>588</v>
      </c>
      <c r="N33" s="15" t="s">
        <v>526</v>
      </c>
      <c r="O33" s="30">
        <v>1800000</v>
      </c>
      <c r="P33" s="28">
        <v>90</v>
      </c>
      <c r="Q33" s="28">
        <f>ROUNDDOWN((P33*30%),0)</f>
        <v>27</v>
      </c>
      <c r="R33" s="27" t="s">
        <v>779</v>
      </c>
      <c r="S33" s="36" t="str">
        <f>VLOOKUP(B33,[1]GỐC!$B:$F,5,0)</f>
        <v>BBHC + Phiếu duyệt KS + Duyệt GĐ</v>
      </c>
      <c r="T33" s="15"/>
      <c r="U33" s="15"/>
      <c r="V33" s="32" t="s">
        <v>798</v>
      </c>
      <c r="W33" s="5"/>
    </row>
    <row r="34" spans="1:23" ht="61.5" x14ac:dyDescent="0.45">
      <c r="A34" s="15">
        <v>30</v>
      </c>
      <c r="B34" s="15">
        <v>302</v>
      </c>
      <c r="C34" s="15" t="s">
        <v>776</v>
      </c>
      <c r="D34" s="3" t="s">
        <v>67</v>
      </c>
      <c r="E34" s="3" t="s">
        <v>213</v>
      </c>
      <c r="F34" s="15" t="s">
        <v>211</v>
      </c>
      <c r="G34" s="15" t="s">
        <v>156</v>
      </c>
      <c r="H34" s="19" t="s">
        <v>408</v>
      </c>
      <c r="I34" s="3" t="s">
        <v>409</v>
      </c>
      <c r="J34" s="15" t="s">
        <v>510</v>
      </c>
      <c r="K34" s="15" t="s">
        <v>589</v>
      </c>
      <c r="L34" s="3" t="s">
        <v>590</v>
      </c>
      <c r="M34" s="15" t="s">
        <v>574</v>
      </c>
      <c r="N34" s="15" t="s">
        <v>526</v>
      </c>
      <c r="O34" s="30">
        <v>2388750</v>
      </c>
      <c r="P34" s="28">
        <v>60</v>
      </c>
      <c r="Q34" s="28">
        <f>ROUNDDOWN((P34*30%),0)</f>
        <v>18</v>
      </c>
      <c r="R34" s="27" t="s">
        <v>779</v>
      </c>
      <c r="S34" s="36" t="str">
        <f>VLOOKUP(B34,[1]GỐC!$B:$F,5,0)</f>
        <v>Quỹ bảo hiểm y tế thanh toán trong điều trị COVID-19 theo hướng dẫn chẩn đoán và điều trị COVID-19 của Bộ Y tế.</v>
      </c>
      <c r="T34" s="15"/>
      <c r="U34" s="15"/>
      <c r="V34" s="32" t="s">
        <v>784</v>
      </c>
      <c r="W34" s="5"/>
    </row>
    <row r="35" spans="1:23" ht="30.75" x14ac:dyDescent="0.45">
      <c r="A35" s="36">
        <v>31</v>
      </c>
      <c r="B35" s="36">
        <v>324</v>
      </c>
      <c r="C35" s="15" t="s">
        <v>777</v>
      </c>
      <c r="D35" s="3" t="s">
        <v>68</v>
      </c>
      <c r="E35" s="3" t="s">
        <v>214</v>
      </c>
      <c r="F35" s="15" t="s">
        <v>215</v>
      </c>
      <c r="G35" s="15" t="s">
        <v>177</v>
      </c>
      <c r="H35" s="19" t="s">
        <v>382</v>
      </c>
      <c r="I35" s="3" t="s">
        <v>410</v>
      </c>
      <c r="J35" s="15" t="s">
        <v>515</v>
      </c>
      <c r="K35" s="15" t="s">
        <v>591</v>
      </c>
      <c r="L35" s="3" t="s">
        <v>592</v>
      </c>
      <c r="M35" s="15" t="s">
        <v>513</v>
      </c>
      <c r="N35" s="15" t="s">
        <v>545</v>
      </c>
      <c r="O35" s="30">
        <v>2798</v>
      </c>
      <c r="P35" s="28">
        <v>2400</v>
      </c>
      <c r="Q35" s="28">
        <f>ROUNDDOWN((P35*30%),0)</f>
        <v>720</v>
      </c>
      <c r="R35" s="27" t="s">
        <v>779</v>
      </c>
      <c r="S35" s="36"/>
      <c r="T35" s="15"/>
      <c r="U35" s="15"/>
      <c r="V35" s="33" t="s">
        <v>799</v>
      </c>
    </row>
    <row r="36" spans="1:23" ht="184.5" x14ac:dyDescent="0.45">
      <c r="A36" s="15">
        <v>32</v>
      </c>
      <c r="B36" s="15">
        <v>348</v>
      </c>
      <c r="C36" s="15" t="s">
        <v>775</v>
      </c>
      <c r="D36" s="3" t="s">
        <v>69</v>
      </c>
      <c r="E36" s="3" t="s">
        <v>216</v>
      </c>
      <c r="F36" s="15" t="s">
        <v>217</v>
      </c>
      <c r="G36" s="15" t="s">
        <v>156</v>
      </c>
      <c r="H36" s="19" t="s">
        <v>411</v>
      </c>
      <c r="I36" s="3" t="s">
        <v>409</v>
      </c>
      <c r="J36" s="15" t="s">
        <v>530</v>
      </c>
      <c r="K36" s="15" t="s">
        <v>593</v>
      </c>
      <c r="L36" s="3" t="s">
        <v>594</v>
      </c>
      <c r="M36" s="15" t="s">
        <v>513</v>
      </c>
      <c r="N36" s="15" t="s">
        <v>526</v>
      </c>
      <c r="O36" s="30">
        <v>420000</v>
      </c>
      <c r="P36" s="28">
        <v>150</v>
      </c>
      <c r="Q36" s="28">
        <f>ROUNDDOWN((P36*30%),0)</f>
        <v>45</v>
      </c>
      <c r="R36" s="27" t="s">
        <v>779</v>
      </c>
      <c r="S36" s="36"/>
      <c r="T36" s="15"/>
      <c r="U36" s="15"/>
      <c r="V36" s="33" t="s">
        <v>800</v>
      </c>
    </row>
    <row r="37" spans="1:23" ht="46.15" x14ac:dyDescent="0.45">
      <c r="A37" s="36">
        <v>33</v>
      </c>
      <c r="B37" s="36">
        <v>356</v>
      </c>
      <c r="C37" s="15" t="s">
        <v>776</v>
      </c>
      <c r="D37" s="3" t="s">
        <v>70</v>
      </c>
      <c r="E37" s="3" t="s">
        <v>218</v>
      </c>
      <c r="F37" s="15" t="s">
        <v>219</v>
      </c>
      <c r="G37" s="15" t="s">
        <v>220</v>
      </c>
      <c r="H37" s="19" t="s">
        <v>412</v>
      </c>
      <c r="I37" s="3" t="s">
        <v>413</v>
      </c>
      <c r="J37" s="15" t="s">
        <v>530</v>
      </c>
      <c r="K37" s="15" t="s">
        <v>595</v>
      </c>
      <c r="L37" s="3" t="s">
        <v>596</v>
      </c>
      <c r="M37" s="15" t="s">
        <v>533</v>
      </c>
      <c r="N37" s="15" t="s">
        <v>526</v>
      </c>
      <c r="O37" s="30">
        <v>249750</v>
      </c>
      <c r="P37" s="28">
        <v>1540</v>
      </c>
      <c r="Q37" s="28">
        <f>ROUNDDOWN((P37*30%),0)</f>
        <v>462</v>
      </c>
      <c r="R37" s="27" t="s">
        <v>779</v>
      </c>
      <c r="S37" s="36"/>
      <c r="T37" s="15"/>
      <c r="U37" s="15"/>
      <c r="V37" s="33" t="s">
        <v>784</v>
      </c>
    </row>
    <row r="38" spans="1:23" ht="30.75" x14ac:dyDescent="0.45">
      <c r="A38" s="15">
        <v>34</v>
      </c>
      <c r="B38" s="15">
        <v>359</v>
      </c>
      <c r="C38" s="15" t="s">
        <v>775</v>
      </c>
      <c r="D38" s="3" t="s">
        <v>71</v>
      </c>
      <c r="E38" s="3" t="s">
        <v>221</v>
      </c>
      <c r="F38" s="15" t="s">
        <v>222</v>
      </c>
      <c r="G38" s="15" t="s">
        <v>186</v>
      </c>
      <c r="H38" s="19" t="s">
        <v>411</v>
      </c>
      <c r="I38" s="3" t="s">
        <v>409</v>
      </c>
      <c r="J38" s="15" t="s">
        <v>510</v>
      </c>
      <c r="K38" s="15" t="s">
        <v>597</v>
      </c>
      <c r="L38" s="3" t="s">
        <v>598</v>
      </c>
      <c r="M38" s="15" t="s">
        <v>599</v>
      </c>
      <c r="N38" s="15" t="s">
        <v>526</v>
      </c>
      <c r="O38" s="30">
        <v>263000</v>
      </c>
      <c r="P38" s="28">
        <v>400</v>
      </c>
      <c r="Q38" s="28">
        <f>ROUNDDOWN((P38*30%),0)</f>
        <v>120</v>
      </c>
      <c r="R38" s="27" t="s">
        <v>779</v>
      </c>
      <c r="S38" s="36"/>
      <c r="T38" s="15"/>
      <c r="U38" s="15"/>
      <c r="V38" s="33" t="s">
        <v>801</v>
      </c>
    </row>
    <row r="39" spans="1:23" ht="76.900000000000006" x14ac:dyDescent="0.45">
      <c r="A39" s="36">
        <v>35</v>
      </c>
      <c r="B39" s="36">
        <v>362</v>
      </c>
      <c r="C39" s="15" t="s">
        <v>776</v>
      </c>
      <c r="D39" s="3" t="s">
        <v>72</v>
      </c>
      <c r="E39" s="3" t="s">
        <v>223</v>
      </c>
      <c r="F39" s="15" t="s">
        <v>224</v>
      </c>
      <c r="G39" s="15" t="s">
        <v>183</v>
      </c>
      <c r="H39" s="19" t="s">
        <v>414</v>
      </c>
      <c r="I39" s="3" t="s">
        <v>399</v>
      </c>
      <c r="J39" s="15" t="s">
        <v>530</v>
      </c>
      <c r="K39" s="15" t="s">
        <v>600</v>
      </c>
      <c r="L39" s="3" t="s">
        <v>596</v>
      </c>
      <c r="M39" s="15" t="s">
        <v>533</v>
      </c>
      <c r="N39" s="15" t="s">
        <v>526</v>
      </c>
      <c r="O39" s="30">
        <v>184691</v>
      </c>
      <c r="P39" s="28">
        <v>200</v>
      </c>
      <c r="Q39" s="28">
        <f>ROUNDDOWN((P39*30%),0)</f>
        <v>60</v>
      </c>
      <c r="R39" s="27" t="s">
        <v>779</v>
      </c>
      <c r="S39" s="36" t="str">
        <f>VLOOKUP(B39,[1]GỐC!$B:$F,5,0)</f>
        <v>Quỹ bảo hiểm y tế thanh toán 50% đối với dạng liposome; thanh toán 100% đối với các dạng khác.</v>
      </c>
      <c r="T39" s="15"/>
      <c r="U39" s="15"/>
      <c r="V39" s="33" t="s">
        <v>784</v>
      </c>
    </row>
    <row r="40" spans="1:23" ht="92.25" x14ac:dyDescent="0.45">
      <c r="A40" s="15">
        <v>36</v>
      </c>
      <c r="B40" s="15">
        <v>369</v>
      </c>
      <c r="C40" s="15" t="s">
        <v>778</v>
      </c>
      <c r="D40" s="3" t="s">
        <v>73</v>
      </c>
      <c r="E40" s="3" t="s">
        <v>225</v>
      </c>
      <c r="F40" s="15" t="s">
        <v>226</v>
      </c>
      <c r="G40" s="15" t="s">
        <v>177</v>
      </c>
      <c r="H40" s="19" t="s">
        <v>397</v>
      </c>
      <c r="I40" s="3" t="s">
        <v>415</v>
      </c>
      <c r="J40" s="15" t="s">
        <v>510</v>
      </c>
      <c r="K40" s="15" t="s">
        <v>601</v>
      </c>
      <c r="L40" s="3" t="s">
        <v>602</v>
      </c>
      <c r="M40" s="15" t="s">
        <v>603</v>
      </c>
      <c r="N40" s="15" t="s">
        <v>545</v>
      </c>
      <c r="O40" s="30">
        <v>4800</v>
      </c>
      <c r="P40" s="28">
        <v>70050</v>
      </c>
      <c r="Q40" s="28">
        <f>ROUNDDOWN((P40*30%),0)</f>
        <v>21015</v>
      </c>
      <c r="R40" s="27" t="s">
        <v>779</v>
      </c>
      <c r="S40" s="36"/>
      <c r="T40" s="15"/>
      <c r="U40" s="15"/>
      <c r="V40" s="33" t="s">
        <v>802</v>
      </c>
    </row>
    <row r="41" spans="1:23" ht="138.4" x14ac:dyDescent="0.45">
      <c r="A41" s="36">
        <v>37</v>
      </c>
      <c r="B41" s="36">
        <v>373</v>
      </c>
      <c r="C41" s="15" t="s">
        <v>776</v>
      </c>
      <c r="D41" s="3" t="s">
        <v>74</v>
      </c>
      <c r="E41" s="3" t="s">
        <v>227</v>
      </c>
      <c r="F41" s="15" t="s">
        <v>228</v>
      </c>
      <c r="G41" s="15" t="s">
        <v>186</v>
      </c>
      <c r="H41" s="19" t="s">
        <v>416</v>
      </c>
      <c r="I41" s="3" t="s">
        <v>417</v>
      </c>
      <c r="J41" s="15" t="s">
        <v>515</v>
      </c>
      <c r="K41" s="15" t="s">
        <v>604</v>
      </c>
      <c r="L41" s="3" t="s">
        <v>605</v>
      </c>
      <c r="M41" s="15" t="s">
        <v>606</v>
      </c>
      <c r="N41" s="15" t="s">
        <v>526</v>
      </c>
      <c r="O41" s="30">
        <v>5302000</v>
      </c>
      <c r="P41" s="28">
        <v>64</v>
      </c>
      <c r="Q41" s="28">
        <f>ROUNDDOWN((P41*30%),0)</f>
        <v>19</v>
      </c>
      <c r="R41" s="27" t="s">
        <v>779</v>
      </c>
      <c r="S41" s="36" t="str">
        <f>VLOOKUP(B41,[1]GỐC!$B:$F,5,0)</f>
        <v>Quỹ bảo hiểm y tế thanh toán 50% đối với dạng L-asparaginase erwinia; thanh toán 100% đối với các dạng khác.</v>
      </c>
      <c r="T41" s="15"/>
      <c r="U41" s="15"/>
      <c r="V41" s="33" t="s">
        <v>803</v>
      </c>
    </row>
    <row r="42" spans="1:23" ht="61.5" x14ac:dyDescent="0.45">
      <c r="A42" s="15">
        <v>38</v>
      </c>
      <c r="B42" s="15">
        <v>415</v>
      </c>
      <c r="C42" s="15" t="s">
        <v>775</v>
      </c>
      <c r="D42" s="3" t="s">
        <v>75</v>
      </c>
      <c r="E42" s="3" t="s">
        <v>229</v>
      </c>
      <c r="F42" s="15" t="s">
        <v>230</v>
      </c>
      <c r="G42" s="15" t="s">
        <v>186</v>
      </c>
      <c r="H42" s="19" t="s">
        <v>418</v>
      </c>
      <c r="I42" s="3" t="s">
        <v>399</v>
      </c>
      <c r="J42" s="15" t="s">
        <v>530</v>
      </c>
      <c r="K42" s="15" t="s">
        <v>607</v>
      </c>
      <c r="L42" s="3" t="s">
        <v>608</v>
      </c>
      <c r="M42" s="15" t="s">
        <v>588</v>
      </c>
      <c r="N42" s="15" t="s">
        <v>526</v>
      </c>
      <c r="O42" s="30">
        <v>3000000</v>
      </c>
      <c r="P42" s="28">
        <v>39</v>
      </c>
      <c r="Q42" s="28">
        <f>ROUNDDOWN((P42*30%),0)</f>
        <v>11</v>
      </c>
      <c r="R42" s="27" t="s">
        <v>779</v>
      </c>
      <c r="S42" s="36"/>
      <c r="T42" s="15"/>
      <c r="U42" s="15"/>
      <c r="V42" s="33" t="s">
        <v>804</v>
      </c>
    </row>
    <row r="43" spans="1:23" ht="199.9" x14ac:dyDescent="0.45">
      <c r="A43" s="36">
        <v>39</v>
      </c>
      <c r="B43" s="36">
        <v>419</v>
      </c>
      <c r="C43" s="15" t="s">
        <v>775</v>
      </c>
      <c r="D43" s="3" t="s">
        <v>76</v>
      </c>
      <c r="E43" s="3" t="s">
        <v>231</v>
      </c>
      <c r="F43" s="15" t="s">
        <v>222</v>
      </c>
      <c r="G43" s="15" t="s">
        <v>156</v>
      </c>
      <c r="H43" s="19" t="s">
        <v>419</v>
      </c>
      <c r="I43" s="3" t="s">
        <v>420</v>
      </c>
      <c r="J43" s="15" t="s">
        <v>510</v>
      </c>
      <c r="K43" s="15" t="s">
        <v>609</v>
      </c>
      <c r="L43" s="3" t="s">
        <v>610</v>
      </c>
      <c r="M43" s="15" t="s">
        <v>611</v>
      </c>
      <c r="N43" s="15" t="s">
        <v>526</v>
      </c>
      <c r="O43" s="30">
        <v>29682123</v>
      </c>
      <c r="P43" s="28">
        <v>36</v>
      </c>
      <c r="Q43" s="28">
        <f>ROUNDDOWN((P43*30%),0)</f>
        <v>10</v>
      </c>
      <c r="R43" s="27" t="s">
        <v>779</v>
      </c>
      <c r="S43" s="36" t="str">
        <f>VLOOKUP(B43,[1]GỐC!$B:$F,5,0)</f>
        <v>Quỹ bảo hiểm y tế thanh toán 50%.</v>
      </c>
      <c r="T43" s="15"/>
      <c r="U43" s="15"/>
      <c r="V43" s="33" t="s">
        <v>784</v>
      </c>
    </row>
    <row r="44" spans="1:23" ht="123" x14ac:dyDescent="0.45">
      <c r="A44" s="15">
        <v>40</v>
      </c>
      <c r="B44" s="15">
        <v>422</v>
      </c>
      <c r="C44" s="15" t="s">
        <v>776</v>
      </c>
      <c r="D44" s="3" t="s">
        <v>77</v>
      </c>
      <c r="E44" s="3" t="s">
        <v>232</v>
      </c>
      <c r="F44" s="15" t="s">
        <v>233</v>
      </c>
      <c r="G44" s="15" t="s">
        <v>177</v>
      </c>
      <c r="H44" s="19" t="s">
        <v>421</v>
      </c>
      <c r="I44" s="3" t="s">
        <v>422</v>
      </c>
      <c r="J44" s="15" t="s">
        <v>510</v>
      </c>
      <c r="K44" s="15" t="s">
        <v>612</v>
      </c>
      <c r="L44" s="3" t="s">
        <v>613</v>
      </c>
      <c r="M44" s="15" t="s">
        <v>614</v>
      </c>
      <c r="N44" s="15" t="s">
        <v>545</v>
      </c>
      <c r="O44" s="30">
        <v>43621</v>
      </c>
      <c r="P44" s="28">
        <v>33000</v>
      </c>
      <c r="Q44" s="28">
        <f>ROUNDDOWN((P44*30%),0)</f>
        <v>9900</v>
      </c>
      <c r="R44" s="27" t="s">
        <v>779</v>
      </c>
      <c r="S44" s="36"/>
      <c r="T44" s="15"/>
      <c r="U44" s="15"/>
      <c r="V44" s="33" t="s">
        <v>784</v>
      </c>
    </row>
    <row r="45" spans="1:23" ht="92.25" x14ac:dyDescent="0.45">
      <c r="A45" s="36">
        <v>41</v>
      </c>
      <c r="B45" s="36">
        <v>434</v>
      </c>
      <c r="C45" s="15" t="s">
        <v>774</v>
      </c>
      <c r="D45" s="3" t="s">
        <v>78</v>
      </c>
      <c r="E45" s="3" t="s">
        <v>234</v>
      </c>
      <c r="F45" s="15" t="s">
        <v>235</v>
      </c>
      <c r="G45" s="15" t="s">
        <v>177</v>
      </c>
      <c r="H45" s="19" t="s">
        <v>379</v>
      </c>
      <c r="I45" s="3" t="s">
        <v>423</v>
      </c>
      <c r="J45" s="15" t="s">
        <v>510</v>
      </c>
      <c r="K45" s="15" t="s">
        <v>615</v>
      </c>
      <c r="L45" s="3" t="s">
        <v>616</v>
      </c>
      <c r="M45" s="15" t="s">
        <v>513</v>
      </c>
      <c r="N45" s="15" t="s">
        <v>545</v>
      </c>
      <c r="O45" s="30">
        <v>3466</v>
      </c>
      <c r="P45" s="28">
        <v>66000</v>
      </c>
      <c r="Q45" s="28">
        <f>ROUNDDOWN((P45*30%),0)</f>
        <v>19800</v>
      </c>
      <c r="R45" s="27" t="s">
        <v>779</v>
      </c>
      <c r="S45" s="36"/>
      <c r="T45" s="15"/>
      <c r="U45" s="15"/>
      <c r="V45" s="33" t="s">
        <v>805</v>
      </c>
    </row>
    <row r="46" spans="1:23" ht="46.15" x14ac:dyDescent="0.45">
      <c r="A46" s="15">
        <v>42</v>
      </c>
      <c r="B46" s="15">
        <v>444</v>
      </c>
      <c r="C46" s="15" t="s">
        <v>774</v>
      </c>
      <c r="D46" s="3" t="s">
        <v>79</v>
      </c>
      <c r="E46" s="3" t="s">
        <v>236</v>
      </c>
      <c r="F46" s="15" t="s">
        <v>169</v>
      </c>
      <c r="G46" s="15" t="s">
        <v>177</v>
      </c>
      <c r="H46" s="19" t="s">
        <v>424</v>
      </c>
      <c r="I46" s="3" t="s">
        <v>425</v>
      </c>
      <c r="J46" s="15" t="s">
        <v>530</v>
      </c>
      <c r="K46" s="15" t="s">
        <v>617</v>
      </c>
      <c r="L46" s="3" t="s">
        <v>618</v>
      </c>
      <c r="M46" s="15" t="s">
        <v>513</v>
      </c>
      <c r="N46" s="15" t="s">
        <v>514</v>
      </c>
      <c r="O46" s="30">
        <v>7489</v>
      </c>
      <c r="P46" s="28">
        <v>2770</v>
      </c>
      <c r="Q46" s="28">
        <f>ROUNDDOWN((P46*30%),0)</f>
        <v>831</v>
      </c>
      <c r="R46" s="27" t="s">
        <v>779</v>
      </c>
      <c r="S46" s="36"/>
      <c r="T46" s="15"/>
      <c r="U46" s="15"/>
      <c r="V46" s="33" t="s">
        <v>806</v>
      </c>
    </row>
    <row r="47" spans="1:23" ht="46.15" x14ac:dyDescent="0.45">
      <c r="A47" s="36">
        <v>43</v>
      </c>
      <c r="B47" s="36">
        <v>450</v>
      </c>
      <c r="C47" s="15" t="s">
        <v>778</v>
      </c>
      <c r="D47" s="3" t="s">
        <v>80</v>
      </c>
      <c r="E47" s="3" t="s">
        <v>237</v>
      </c>
      <c r="F47" s="15" t="s">
        <v>238</v>
      </c>
      <c r="G47" s="15" t="s">
        <v>177</v>
      </c>
      <c r="H47" s="19" t="s">
        <v>426</v>
      </c>
      <c r="I47" s="3" t="s">
        <v>427</v>
      </c>
      <c r="J47" s="15" t="s">
        <v>530</v>
      </c>
      <c r="K47" s="15" t="s">
        <v>619</v>
      </c>
      <c r="L47" s="3" t="s">
        <v>620</v>
      </c>
      <c r="M47" s="15" t="s">
        <v>588</v>
      </c>
      <c r="N47" s="15" t="s">
        <v>545</v>
      </c>
      <c r="O47" s="30">
        <v>2625</v>
      </c>
      <c r="P47" s="28">
        <v>10000</v>
      </c>
      <c r="Q47" s="28">
        <f>ROUNDDOWN((P47*30%),0)</f>
        <v>3000</v>
      </c>
      <c r="R47" s="27" t="s">
        <v>779</v>
      </c>
      <c r="S47" s="36"/>
      <c r="T47" s="15"/>
      <c r="U47" s="15"/>
      <c r="V47" s="32" t="s">
        <v>788</v>
      </c>
      <c r="W47" s="5"/>
    </row>
    <row r="48" spans="1:23" ht="169.15" x14ac:dyDescent="0.45">
      <c r="A48" s="15">
        <v>44</v>
      </c>
      <c r="B48" s="15">
        <v>463</v>
      </c>
      <c r="C48" s="15" t="s">
        <v>776</v>
      </c>
      <c r="D48" s="3" t="s">
        <v>81</v>
      </c>
      <c r="E48" s="3" t="s">
        <v>239</v>
      </c>
      <c r="F48" s="15" t="s">
        <v>240</v>
      </c>
      <c r="G48" s="15" t="s">
        <v>186</v>
      </c>
      <c r="H48" s="19" t="s">
        <v>418</v>
      </c>
      <c r="I48" s="3" t="s">
        <v>428</v>
      </c>
      <c r="J48" s="15" t="s">
        <v>510</v>
      </c>
      <c r="K48" s="15" t="s">
        <v>621</v>
      </c>
      <c r="L48" s="3" t="s">
        <v>622</v>
      </c>
      <c r="M48" s="15" t="s">
        <v>521</v>
      </c>
      <c r="N48" s="15" t="s">
        <v>526</v>
      </c>
      <c r="O48" s="30">
        <v>1493000</v>
      </c>
      <c r="P48" s="28">
        <v>905</v>
      </c>
      <c r="Q48" s="28">
        <f>ROUNDDOWN((P48*30%),0)</f>
        <v>271</v>
      </c>
      <c r="R48" s="27" t="s">
        <v>779</v>
      </c>
      <c r="S48" s="36" t="str">
        <f>VLOOKUP(B48,[1]GỐC!$B:$F,5,0)</f>
        <v>Quỹ bảo hiểm y tế thanh toán trong trường hợp: Nồng độ albumin máu ≤ 2,5 g/dl  hoặc sốc hoặc hội chứng suy hô hấp tiến triển; thanh toán 70%.</v>
      </c>
      <c r="T48" s="15"/>
      <c r="U48" s="15"/>
      <c r="V48" s="32" t="s">
        <v>793</v>
      </c>
      <c r="W48" s="5"/>
    </row>
    <row r="49" spans="1:23" ht="46.15" x14ac:dyDescent="0.45">
      <c r="A49" s="36">
        <v>45</v>
      </c>
      <c r="B49" s="36">
        <v>484</v>
      </c>
      <c r="C49" s="15" t="s">
        <v>778</v>
      </c>
      <c r="D49" s="3" t="s">
        <v>82</v>
      </c>
      <c r="E49" s="3" t="s">
        <v>241</v>
      </c>
      <c r="F49" s="15" t="s">
        <v>242</v>
      </c>
      <c r="G49" s="15" t="s">
        <v>156</v>
      </c>
      <c r="H49" s="19" t="s">
        <v>364</v>
      </c>
      <c r="I49" s="3" t="s">
        <v>429</v>
      </c>
      <c r="J49" s="15" t="s">
        <v>530</v>
      </c>
      <c r="K49" s="15" t="s">
        <v>623</v>
      </c>
      <c r="L49" s="3" t="s">
        <v>624</v>
      </c>
      <c r="M49" s="15" t="s">
        <v>603</v>
      </c>
      <c r="N49" s="15" t="s">
        <v>625</v>
      </c>
      <c r="O49" s="30">
        <v>175000</v>
      </c>
      <c r="P49" s="28">
        <v>17020</v>
      </c>
      <c r="Q49" s="28">
        <f>ROUNDDOWN((P49*30%),0)</f>
        <v>5106</v>
      </c>
      <c r="R49" s="27" t="s">
        <v>779</v>
      </c>
      <c r="S49" s="36"/>
      <c r="T49" s="15"/>
      <c r="U49" s="15"/>
      <c r="V49" s="32" t="s">
        <v>807</v>
      </c>
      <c r="W49" s="5"/>
    </row>
    <row r="50" spans="1:23" ht="46.15" x14ac:dyDescent="0.45">
      <c r="A50" s="15">
        <v>46</v>
      </c>
      <c r="B50" s="15">
        <v>484</v>
      </c>
      <c r="C50" s="15" t="s">
        <v>778</v>
      </c>
      <c r="D50" s="3" t="s">
        <v>83</v>
      </c>
      <c r="E50" s="3" t="s">
        <v>241</v>
      </c>
      <c r="F50" s="15" t="s">
        <v>243</v>
      </c>
      <c r="G50" s="15" t="s">
        <v>156</v>
      </c>
      <c r="H50" s="19" t="s">
        <v>364</v>
      </c>
      <c r="I50" s="3" t="s">
        <v>430</v>
      </c>
      <c r="J50" s="15" t="s">
        <v>530</v>
      </c>
      <c r="K50" s="15" t="s">
        <v>626</v>
      </c>
      <c r="L50" s="3" t="s">
        <v>624</v>
      </c>
      <c r="M50" s="15" t="s">
        <v>603</v>
      </c>
      <c r="N50" s="15" t="s">
        <v>625</v>
      </c>
      <c r="O50" s="30">
        <v>274500</v>
      </c>
      <c r="P50" s="28">
        <v>3520</v>
      </c>
      <c r="Q50" s="28">
        <f>ROUNDDOWN((P50*30%),0)</f>
        <v>1056</v>
      </c>
      <c r="R50" s="27" t="s">
        <v>779</v>
      </c>
      <c r="S50" s="36"/>
      <c r="T50" s="15"/>
      <c r="U50" s="15"/>
      <c r="V50" s="33" t="s">
        <v>807</v>
      </c>
    </row>
    <row r="51" spans="1:23" ht="46.15" x14ac:dyDescent="0.45">
      <c r="A51" s="36">
        <v>47</v>
      </c>
      <c r="B51" s="36">
        <v>485</v>
      </c>
      <c r="C51" s="15" t="s">
        <v>775</v>
      </c>
      <c r="D51" s="3" t="s">
        <v>84</v>
      </c>
      <c r="E51" s="3" t="s">
        <v>244</v>
      </c>
      <c r="F51" s="15" t="s">
        <v>245</v>
      </c>
      <c r="G51" s="15" t="s">
        <v>156</v>
      </c>
      <c r="H51" s="19" t="s">
        <v>364</v>
      </c>
      <c r="I51" s="3" t="s">
        <v>431</v>
      </c>
      <c r="J51" s="15" t="s">
        <v>627</v>
      </c>
      <c r="K51" s="15" t="s">
        <v>628</v>
      </c>
      <c r="L51" s="3" t="s">
        <v>629</v>
      </c>
      <c r="M51" s="15" t="s">
        <v>630</v>
      </c>
      <c r="N51" s="15" t="s">
        <v>526</v>
      </c>
      <c r="O51" s="30">
        <v>142277</v>
      </c>
      <c r="P51" s="28">
        <v>1410</v>
      </c>
      <c r="Q51" s="28">
        <f>ROUNDDOWN((P51*30%),0)</f>
        <v>423</v>
      </c>
      <c r="R51" s="27" t="s">
        <v>779</v>
      </c>
      <c r="S51" s="36"/>
      <c r="T51" s="15"/>
      <c r="U51" s="15"/>
      <c r="V51" s="33" t="s">
        <v>808</v>
      </c>
    </row>
    <row r="52" spans="1:23" ht="30.75" x14ac:dyDescent="0.45">
      <c r="A52" s="15">
        <v>48</v>
      </c>
      <c r="B52" s="15">
        <v>506</v>
      </c>
      <c r="C52" s="15" t="s">
        <v>776</v>
      </c>
      <c r="D52" s="3" t="s">
        <v>85</v>
      </c>
      <c r="E52" s="3" t="s">
        <v>246</v>
      </c>
      <c r="F52" s="15" t="s">
        <v>247</v>
      </c>
      <c r="G52" s="15" t="s">
        <v>177</v>
      </c>
      <c r="H52" s="19" t="s">
        <v>379</v>
      </c>
      <c r="I52" s="3" t="s">
        <v>432</v>
      </c>
      <c r="J52" s="15" t="s">
        <v>510</v>
      </c>
      <c r="K52" s="15" t="s">
        <v>631</v>
      </c>
      <c r="L52" s="3" t="s">
        <v>632</v>
      </c>
      <c r="M52" s="15" t="s">
        <v>540</v>
      </c>
      <c r="N52" s="15" t="s">
        <v>545</v>
      </c>
      <c r="O52" s="30">
        <v>10395</v>
      </c>
      <c r="P52" s="28">
        <v>105000</v>
      </c>
      <c r="Q52" s="28">
        <f>ROUNDDOWN((P52*30%),0)</f>
        <v>31500</v>
      </c>
      <c r="R52" s="27" t="s">
        <v>779</v>
      </c>
      <c r="S52" s="36"/>
      <c r="T52" s="15"/>
      <c r="U52" s="15"/>
      <c r="V52" s="33" t="s">
        <v>809</v>
      </c>
    </row>
    <row r="53" spans="1:23" ht="46.15" x14ac:dyDescent="0.45">
      <c r="A53" s="36">
        <v>49</v>
      </c>
      <c r="B53" s="36">
        <v>540</v>
      </c>
      <c r="C53" s="15" t="s">
        <v>777</v>
      </c>
      <c r="D53" s="3" t="s">
        <v>86</v>
      </c>
      <c r="E53" s="3" t="s">
        <v>248</v>
      </c>
      <c r="F53" s="15" t="s">
        <v>222</v>
      </c>
      <c r="G53" s="15" t="s">
        <v>177</v>
      </c>
      <c r="H53" s="19" t="s">
        <v>433</v>
      </c>
      <c r="I53" s="3" t="s">
        <v>434</v>
      </c>
      <c r="J53" s="15" t="s">
        <v>510</v>
      </c>
      <c r="K53" s="15" t="s">
        <v>633</v>
      </c>
      <c r="L53" s="3" t="s">
        <v>634</v>
      </c>
      <c r="M53" s="15" t="s">
        <v>513</v>
      </c>
      <c r="N53" s="15" t="s">
        <v>545</v>
      </c>
      <c r="O53" s="30">
        <v>672</v>
      </c>
      <c r="P53" s="28">
        <v>7420</v>
      </c>
      <c r="Q53" s="28">
        <f>ROUNDDOWN((P53*30%),0)</f>
        <v>2226</v>
      </c>
      <c r="R53" s="27" t="s">
        <v>779</v>
      </c>
      <c r="S53" s="36"/>
      <c r="T53" s="15"/>
      <c r="U53" s="15"/>
      <c r="V53" s="33" t="s">
        <v>810</v>
      </c>
    </row>
    <row r="54" spans="1:23" ht="30.75" x14ac:dyDescent="0.45">
      <c r="A54" s="15">
        <v>50</v>
      </c>
      <c r="B54" s="15">
        <v>563</v>
      </c>
      <c r="C54" s="15" t="s">
        <v>774</v>
      </c>
      <c r="D54" s="3" t="s">
        <v>87</v>
      </c>
      <c r="E54" s="3" t="s">
        <v>249</v>
      </c>
      <c r="F54" s="15" t="s">
        <v>250</v>
      </c>
      <c r="G54" s="15" t="s">
        <v>177</v>
      </c>
      <c r="H54" s="19" t="s">
        <v>397</v>
      </c>
      <c r="I54" s="3" t="s">
        <v>435</v>
      </c>
      <c r="J54" s="15" t="s">
        <v>530</v>
      </c>
      <c r="K54" s="15" t="s">
        <v>635</v>
      </c>
      <c r="L54" s="3" t="s">
        <v>636</v>
      </c>
      <c r="M54" s="15" t="s">
        <v>513</v>
      </c>
      <c r="N54" s="15" t="s">
        <v>545</v>
      </c>
      <c r="O54" s="30">
        <v>1950</v>
      </c>
      <c r="P54" s="28">
        <v>512580</v>
      </c>
      <c r="Q54" s="28">
        <f>ROUNDDOWN((P54*30%),0)</f>
        <v>153774</v>
      </c>
      <c r="R54" s="27" t="s">
        <v>779</v>
      </c>
      <c r="S54" s="36"/>
      <c r="T54" s="15"/>
      <c r="U54" s="15"/>
      <c r="V54" s="35" t="s">
        <v>811</v>
      </c>
      <c r="W54" s="5"/>
    </row>
    <row r="55" spans="1:23" ht="30.75" x14ac:dyDescent="0.45">
      <c r="A55" s="36">
        <v>51</v>
      </c>
      <c r="B55" s="36">
        <v>625</v>
      </c>
      <c r="C55" s="15" t="s">
        <v>776</v>
      </c>
      <c r="D55" s="3" t="s">
        <v>88</v>
      </c>
      <c r="E55" s="3" t="s">
        <v>251</v>
      </c>
      <c r="F55" s="15" t="s">
        <v>252</v>
      </c>
      <c r="G55" s="15" t="s">
        <v>207</v>
      </c>
      <c r="H55" s="19" t="s">
        <v>436</v>
      </c>
      <c r="I55" s="3" t="s">
        <v>437</v>
      </c>
      <c r="J55" s="15" t="s">
        <v>510</v>
      </c>
      <c r="K55" s="15" t="s">
        <v>637</v>
      </c>
      <c r="L55" s="3" t="s">
        <v>638</v>
      </c>
      <c r="M55" s="15" t="s">
        <v>639</v>
      </c>
      <c r="N55" s="15" t="s">
        <v>640</v>
      </c>
      <c r="O55" s="30">
        <v>97130</v>
      </c>
      <c r="P55" s="28">
        <v>55</v>
      </c>
      <c r="Q55" s="28">
        <f>ROUNDDOWN((P55*30%),0)</f>
        <v>16</v>
      </c>
      <c r="R55" s="27" t="s">
        <v>779</v>
      </c>
      <c r="S55" s="36"/>
      <c r="T55" s="15"/>
      <c r="U55" s="15"/>
      <c r="V55" s="32" t="s">
        <v>782</v>
      </c>
      <c r="W55" s="5"/>
    </row>
    <row r="56" spans="1:23" ht="61.5" x14ac:dyDescent="0.45">
      <c r="A56" s="15">
        <v>52</v>
      </c>
      <c r="B56" s="15">
        <v>666</v>
      </c>
      <c r="C56" s="15" t="s">
        <v>774</v>
      </c>
      <c r="D56" s="3" t="s">
        <v>89</v>
      </c>
      <c r="E56" s="3" t="s">
        <v>253</v>
      </c>
      <c r="F56" s="15" t="s">
        <v>254</v>
      </c>
      <c r="G56" s="15" t="s">
        <v>207</v>
      </c>
      <c r="H56" s="19" t="s">
        <v>438</v>
      </c>
      <c r="I56" s="3" t="s">
        <v>439</v>
      </c>
      <c r="J56" s="15" t="s">
        <v>530</v>
      </c>
      <c r="K56" s="15" t="s">
        <v>641</v>
      </c>
      <c r="L56" s="3" t="s">
        <v>642</v>
      </c>
      <c r="M56" s="15" t="s">
        <v>513</v>
      </c>
      <c r="N56" s="15" t="s">
        <v>556</v>
      </c>
      <c r="O56" s="30">
        <v>6800</v>
      </c>
      <c r="P56" s="28">
        <v>11150</v>
      </c>
      <c r="Q56" s="28">
        <f>ROUNDDOWN((P56*30%),0)</f>
        <v>3345</v>
      </c>
      <c r="R56" s="27" t="s">
        <v>779</v>
      </c>
      <c r="S56" s="36"/>
      <c r="T56" s="15"/>
      <c r="U56" s="15"/>
      <c r="V56" s="33" t="s">
        <v>812</v>
      </c>
    </row>
    <row r="57" spans="1:23" ht="61.5" x14ac:dyDescent="0.45">
      <c r="A57" s="36">
        <v>53</v>
      </c>
      <c r="B57" s="36">
        <v>666</v>
      </c>
      <c r="C57" s="15" t="s">
        <v>774</v>
      </c>
      <c r="D57" s="3" t="s">
        <v>89</v>
      </c>
      <c r="E57" s="3" t="s">
        <v>253</v>
      </c>
      <c r="F57" s="15" t="s">
        <v>255</v>
      </c>
      <c r="G57" s="15" t="s">
        <v>207</v>
      </c>
      <c r="H57" s="19" t="s">
        <v>438</v>
      </c>
      <c r="I57" s="3" t="s">
        <v>440</v>
      </c>
      <c r="J57" s="15" t="s">
        <v>530</v>
      </c>
      <c r="K57" s="15" t="s">
        <v>641</v>
      </c>
      <c r="L57" s="3" t="s">
        <v>642</v>
      </c>
      <c r="M57" s="15" t="s">
        <v>513</v>
      </c>
      <c r="N57" s="15" t="s">
        <v>556</v>
      </c>
      <c r="O57" s="30">
        <v>10080</v>
      </c>
      <c r="P57" s="28">
        <v>260</v>
      </c>
      <c r="Q57" s="28">
        <f>ROUNDDOWN((P57*30%),0)</f>
        <v>78</v>
      </c>
      <c r="R57" s="27" t="s">
        <v>779</v>
      </c>
      <c r="S57" s="36"/>
      <c r="T57" s="15"/>
      <c r="U57" s="15"/>
      <c r="V57" s="33" t="s">
        <v>812</v>
      </c>
    </row>
    <row r="58" spans="1:23" ht="61.5" x14ac:dyDescent="0.45">
      <c r="A58" s="15">
        <v>54</v>
      </c>
      <c r="B58" s="15">
        <v>666</v>
      </c>
      <c r="C58" s="15" t="s">
        <v>774</v>
      </c>
      <c r="D58" s="3" t="s">
        <v>89</v>
      </c>
      <c r="E58" s="3" t="s">
        <v>253</v>
      </c>
      <c r="F58" s="15" t="s">
        <v>254</v>
      </c>
      <c r="G58" s="15" t="s">
        <v>207</v>
      </c>
      <c r="H58" s="19" t="s">
        <v>438</v>
      </c>
      <c r="I58" s="3" t="s">
        <v>439</v>
      </c>
      <c r="J58" s="15" t="s">
        <v>530</v>
      </c>
      <c r="K58" s="15" t="s">
        <v>641</v>
      </c>
      <c r="L58" s="3" t="s">
        <v>642</v>
      </c>
      <c r="M58" s="15" t="s">
        <v>513</v>
      </c>
      <c r="N58" s="15" t="s">
        <v>556</v>
      </c>
      <c r="O58" s="30">
        <v>6800</v>
      </c>
      <c r="P58" s="28">
        <v>1090</v>
      </c>
      <c r="Q58" s="28">
        <f>ROUNDDOWN((P58*30%),0)</f>
        <v>327</v>
      </c>
      <c r="R58" s="27" t="s">
        <v>779</v>
      </c>
      <c r="S58" s="36"/>
      <c r="T58" s="15"/>
      <c r="U58" s="15"/>
      <c r="V58" s="33" t="s">
        <v>812</v>
      </c>
    </row>
    <row r="59" spans="1:23" ht="30.75" x14ac:dyDescent="0.45">
      <c r="A59" s="36">
        <v>55</v>
      </c>
      <c r="B59" s="36">
        <v>670</v>
      </c>
      <c r="C59" s="15" t="s">
        <v>776</v>
      </c>
      <c r="D59" s="3" t="s">
        <v>90</v>
      </c>
      <c r="E59" s="3" t="s">
        <v>256</v>
      </c>
      <c r="F59" s="15" t="s">
        <v>257</v>
      </c>
      <c r="G59" s="15" t="s">
        <v>177</v>
      </c>
      <c r="H59" s="19" t="s">
        <v>379</v>
      </c>
      <c r="I59" s="3" t="s">
        <v>441</v>
      </c>
      <c r="J59" s="15" t="s">
        <v>510</v>
      </c>
      <c r="K59" s="15" t="s">
        <v>643</v>
      </c>
      <c r="L59" s="3" t="s">
        <v>644</v>
      </c>
      <c r="M59" s="15" t="s">
        <v>645</v>
      </c>
      <c r="N59" s="15" t="s">
        <v>545</v>
      </c>
      <c r="O59" s="30">
        <v>3125</v>
      </c>
      <c r="P59" s="28">
        <v>324040</v>
      </c>
      <c r="Q59" s="28">
        <f>ROUNDDOWN((P59*30%),0)</f>
        <v>97212</v>
      </c>
      <c r="R59" s="27" t="s">
        <v>779</v>
      </c>
      <c r="S59" s="36"/>
      <c r="T59" s="15"/>
      <c r="U59" s="15"/>
      <c r="V59" s="33" t="s">
        <v>813</v>
      </c>
    </row>
    <row r="60" spans="1:23" ht="138.4" x14ac:dyDescent="0.45">
      <c r="A60" s="15">
        <v>56</v>
      </c>
      <c r="B60" s="15">
        <v>670</v>
      </c>
      <c r="C60" s="15" t="s">
        <v>776</v>
      </c>
      <c r="D60" s="3" t="s">
        <v>91</v>
      </c>
      <c r="E60" s="3" t="s">
        <v>256</v>
      </c>
      <c r="F60" s="15" t="s">
        <v>211</v>
      </c>
      <c r="G60" s="15" t="s">
        <v>177</v>
      </c>
      <c r="H60" s="19" t="s">
        <v>379</v>
      </c>
      <c r="I60" s="3" t="s">
        <v>442</v>
      </c>
      <c r="J60" s="15" t="s">
        <v>510</v>
      </c>
      <c r="K60" s="15" t="s">
        <v>646</v>
      </c>
      <c r="L60" s="3" t="s">
        <v>647</v>
      </c>
      <c r="M60" s="15" t="s">
        <v>648</v>
      </c>
      <c r="N60" s="15" t="s">
        <v>545</v>
      </c>
      <c r="O60" s="30">
        <v>4935</v>
      </c>
      <c r="P60" s="28">
        <v>444680</v>
      </c>
      <c r="Q60" s="28">
        <f>ROUNDDOWN((P60*30%),0)</f>
        <v>133404</v>
      </c>
      <c r="R60" s="27" t="s">
        <v>779</v>
      </c>
      <c r="S60" s="36"/>
      <c r="T60" s="15"/>
      <c r="U60" s="15"/>
      <c r="V60" s="33" t="s">
        <v>785</v>
      </c>
    </row>
    <row r="61" spans="1:23" ht="92.25" x14ac:dyDescent="0.45">
      <c r="A61" s="36">
        <v>57</v>
      </c>
      <c r="B61" s="36">
        <v>673</v>
      </c>
      <c r="C61" s="15" t="s">
        <v>774</v>
      </c>
      <c r="D61" s="3" t="s">
        <v>92</v>
      </c>
      <c r="E61" s="3" t="s">
        <v>258</v>
      </c>
      <c r="F61" s="15" t="s">
        <v>259</v>
      </c>
      <c r="G61" s="15" t="s">
        <v>177</v>
      </c>
      <c r="H61" s="19" t="s">
        <v>382</v>
      </c>
      <c r="I61" s="3" t="s">
        <v>443</v>
      </c>
      <c r="J61" s="15" t="s">
        <v>510</v>
      </c>
      <c r="K61" s="15" t="s">
        <v>649</v>
      </c>
      <c r="L61" s="3" t="s">
        <v>650</v>
      </c>
      <c r="M61" s="15" t="s">
        <v>513</v>
      </c>
      <c r="N61" s="15" t="s">
        <v>545</v>
      </c>
      <c r="O61" s="30">
        <v>3950</v>
      </c>
      <c r="P61" s="28">
        <v>26000</v>
      </c>
      <c r="Q61" s="28">
        <f>ROUNDDOWN((P61*30%),0)</f>
        <v>7800</v>
      </c>
      <c r="R61" s="27" t="s">
        <v>779</v>
      </c>
      <c r="S61" s="36"/>
      <c r="T61" s="15"/>
      <c r="U61" s="15"/>
      <c r="V61" s="33" t="s">
        <v>787</v>
      </c>
    </row>
    <row r="62" spans="1:23" ht="92.25" x14ac:dyDescent="0.45">
      <c r="A62" s="15">
        <v>58</v>
      </c>
      <c r="B62" s="15">
        <v>675</v>
      </c>
      <c r="C62" s="15" t="s">
        <v>776</v>
      </c>
      <c r="D62" s="3" t="s">
        <v>93</v>
      </c>
      <c r="E62" s="3" t="s">
        <v>260</v>
      </c>
      <c r="F62" s="15" t="s">
        <v>222</v>
      </c>
      <c r="G62" s="15" t="s">
        <v>156</v>
      </c>
      <c r="H62" s="19" t="s">
        <v>444</v>
      </c>
      <c r="I62" s="3" t="s">
        <v>445</v>
      </c>
      <c r="J62" s="15" t="s">
        <v>510</v>
      </c>
      <c r="K62" s="15" t="s">
        <v>651</v>
      </c>
      <c r="L62" s="3" t="s">
        <v>644</v>
      </c>
      <c r="M62" s="15" t="s">
        <v>645</v>
      </c>
      <c r="N62" s="15" t="s">
        <v>526</v>
      </c>
      <c r="O62" s="30">
        <v>75000</v>
      </c>
      <c r="P62" s="28">
        <v>14140</v>
      </c>
      <c r="Q62" s="28">
        <f>ROUNDDOWN((P62*30%),0)</f>
        <v>4242</v>
      </c>
      <c r="R62" s="27" t="s">
        <v>779</v>
      </c>
      <c r="S62" s="36"/>
      <c r="T62" s="15"/>
      <c r="U62" s="15"/>
      <c r="V62" s="33" t="s">
        <v>813</v>
      </c>
    </row>
    <row r="63" spans="1:23" ht="92.25" x14ac:dyDescent="0.45">
      <c r="A63" s="36">
        <v>59</v>
      </c>
      <c r="B63" s="36">
        <v>679</v>
      </c>
      <c r="C63" s="15" t="s">
        <v>778</v>
      </c>
      <c r="D63" s="3" t="s">
        <v>94</v>
      </c>
      <c r="E63" s="3" t="s">
        <v>261</v>
      </c>
      <c r="F63" s="15" t="s">
        <v>262</v>
      </c>
      <c r="G63" s="15" t="s">
        <v>177</v>
      </c>
      <c r="H63" s="19" t="s">
        <v>446</v>
      </c>
      <c r="I63" s="3" t="s">
        <v>447</v>
      </c>
      <c r="J63" s="15" t="s">
        <v>510</v>
      </c>
      <c r="K63" s="15" t="s">
        <v>652</v>
      </c>
      <c r="L63" s="3" t="s">
        <v>653</v>
      </c>
      <c r="M63" s="15" t="s">
        <v>599</v>
      </c>
      <c r="N63" s="15" t="s">
        <v>654</v>
      </c>
      <c r="O63" s="30">
        <v>3950</v>
      </c>
      <c r="P63" s="28">
        <v>14790</v>
      </c>
      <c r="Q63" s="28">
        <f>ROUNDDOWN((P63*30%),0)</f>
        <v>4437</v>
      </c>
      <c r="R63" s="27" t="s">
        <v>779</v>
      </c>
      <c r="S63" s="36"/>
      <c r="T63" s="15"/>
      <c r="U63" s="15"/>
      <c r="V63" s="33" t="s">
        <v>786</v>
      </c>
    </row>
    <row r="64" spans="1:23" ht="61.5" x14ac:dyDescent="0.45">
      <c r="A64" s="15">
        <v>60</v>
      </c>
      <c r="B64" s="15">
        <v>679</v>
      </c>
      <c r="C64" s="15" t="s">
        <v>774</v>
      </c>
      <c r="D64" s="3" t="s">
        <v>95</v>
      </c>
      <c r="E64" s="3" t="s">
        <v>261</v>
      </c>
      <c r="F64" s="15" t="s">
        <v>263</v>
      </c>
      <c r="G64" s="15" t="s">
        <v>177</v>
      </c>
      <c r="H64" s="19" t="s">
        <v>426</v>
      </c>
      <c r="I64" s="3" t="s">
        <v>448</v>
      </c>
      <c r="J64" s="15" t="s">
        <v>510</v>
      </c>
      <c r="K64" s="15" t="s">
        <v>655</v>
      </c>
      <c r="L64" s="3" t="s">
        <v>656</v>
      </c>
      <c r="M64" s="15" t="s">
        <v>513</v>
      </c>
      <c r="N64" s="15" t="s">
        <v>545</v>
      </c>
      <c r="O64" s="30">
        <v>3948</v>
      </c>
      <c r="P64" s="28">
        <v>7300</v>
      </c>
      <c r="Q64" s="28">
        <f>ROUNDDOWN((P64*30%),0)</f>
        <v>2190</v>
      </c>
      <c r="R64" s="27" t="s">
        <v>779</v>
      </c>
      <c r="S64" s="36"/>
      <c r="T64" s="15"/>
      <c r="U64" s="15"/>
      <c r="V64" s="32" t="s">
        <v>814</v>
      </c>
      <c r="W64" s="5"/>
    </row>
    <row r="65" spans="1:23" ht="46.15" x14ac:dyDescent="0.45">
      <c r="A65" s="36">
        <v>61</v>
      </c>
      <c r="B65" s="36">
        <v>685</v>
      </c>
      <c r="C65" s="15" t="s">
        <v>776</v>
      </c>
      <c r="D65" s="3" t="s">
        <v>96</v>
      </c>
      <c r="E65" s="3" t="s">
        <v>264</v>
      </c>
      <c r="F65" s="15" t="s">
        <v>222</v>
      </c>
      <c r="G65" s="15" t="s">
        <v>156</v>
      </c>
      <c r="H65" s="19" t="s">
        <v>411</v>
      </c>
      <c r="I65" s="3" t="s">
        <v>409</v>
      </c>
      <c r="J65" s="15" t="s">
        <v>510</v>
      </c>
      <c r="K65" s="15" t="s">
        <v>657</v>
      </c>
      <c r="L65" s="3" t="s">
        <v>658</v>
      </c>
      <c r="M65" s="15" t="s">
        <v>588</v>
      </c>
      <c r="N65" s="15" t="s">
        <v>526</v>
      </c>
      <c r="O65" s="30">
        <v>133300</v>
      </c>
      <c r="P65" s="28">
        <v>92620</v>
      </c>
      <c r="Q65" s="28">
        <f>ROUNDDOWN((P65*30%),0)</f>
        <v>27786</v>
      </c>
      <c r="R65" s="27" t="s">
        <v>779</v>
      </c>
      <c r="S65" s="36" t="str">
        <f>VLOOKUP(B65,[1]GỐC!$B:$F,5,0)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65" s="15"/>
      <c r="U65" s="15"/>
      <c r="V65" s="32" t="s">
        <v>815</v>
      </c>
      <c r="W65" s="5"/>
    </row>
    <row r="66" spans="1:23" ht="30.75" x14ac:dyDescent="0.45">
      <c r="A66" s="15">
        <v>62</v>
      </c>
      <c r="B66" s="15">
        <v>685</v>
      </c>
      <c r="C66" s="15" t="s">
        <v>778</v>
      </c>
      <c r="D66" s="3" t="s">
        <v>97</v>
      </c>
      <c r="E66" s="3" t="s">
        <v>264</v>
      </c>
      <c r="F66" s="15" t="s">
        <v>222</v>
      </c>
      <c r="G66" s="15" t="s">
        <v>156</v>
      </c>
      <c r="H66" s="19" t="s">
        <v>411</v>
      </c>
      <c r="I66" s="3" t="s">
        <v>449</v>
      </c>
      <c r="J66" s="15" t="s">
        <v>530</v>
      </c>
      <c r="K66" s="15" t="s">
        <v>659</v>
      </c>
      <c r="L66" s="3" t="s">
        <v>660</v>
      </c>
      <c r="M66" s="15" t="s">
        <v>588</v>
      </c>
      <c r="N66" s="15" t="s">
        <v>526</v>
      </c>
      <c r="O66" s="30">
        <v>106000</v>
      </c>
      <c r="P66" s="28">
        <v>80300</v>
      </c>
      <c r="Q66" s="28">
        <f>ROUNDDOWN((P66*30%),0)</f>
        <v>24090</v>
      </c>
      <c r="R66" s="27" t="s">
        <v>779</v>
      </c>
      <c r="S66" s="36" t="str">
        <f>VLOOKUP(B66,[1]GỐC!$B:$F,5,0)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66" s="15"/>
      <c r="U66" s="15"/>
      <c r="V66" s="32" t="s">
        <v>816</v>
      </c>
      <c r="W66" s="5"/>
    </row>
    <row r="67" spans="1:23" ht="46.15" x14ac:dyDescent="0.45">
      <c r="A67" s="36">
        <v>63</v>
      </c>
      <c r="B67" s="36">
        <v>685</v>
      </c>
      <c r="C67" s="15" t="s">
        <v>775</v>
      </c>
      <c r="D67" s="3" t="s">
        <v>98</v>
      </c>
      <c r="E67" s="3" t="s">
        <v>264</v>
      </c>
      <c r="F67" s="15" t="s">
        <v>265</v>
      </c>
      <c r="G67" s="15" t="s">
        <v>177</v>
      </c>
      <c r="H67" s="19" t="s">
        <v>421</v>
      </c>
      <c r="I67" s="3" t="s">
        <v>435</v>
      </c>
      <c r="J67" s="15" t="s">
        <v>530</v>
      </c>
      <c r="K67" s="15" t="s">
        <v>661</v>
      </c>
      <c r="L67" s="3" t="s">
        <v>662</v>
      </c>
      <c r="M67" s="15" t="s">
        <v>583</v>
      </c>
      <c r="N67" s="15" t="s">
        <v>545</v>
      </c>
      <c r="O67" s="30">
        <v>8500</v>
      </c>
      <c r="P67" s="28">
        <v>198210</v>
      </c>
      <c r="Q67" s="28">
        <f>ROUNDDOWN((P67*30%),0)</f>
        <v>59463</v>
      </c>
      <c r="R67" s="27" t="s">
        <v>779</v>
      </c>
      <c r="S67" s="36" t="str">
        <f>VLOOKUP(B67,[1]GỐC!$B:$F,5,0)</f>
        <v>Quỹ BHYT thanh toán theo chỉ định trong tờ hướng dẫn sử dụng thuốc kèm theo hồ sơ đăng ký thuốc đã được cấp phép hoặc hướng dẫn chẩn đoán và điều trị của Bộ Y tế hoặc chỉ định dự phòng loét dạ dày tá tràng, xuất huyết tiêu hóa tại dạ dày, tá tràng do stress ở bệnh nhân hồi sức tích cực.</v>
      </c>
      <c r="T67" s="15"/>
      <c r="U67" s="15"/>
      <c r="V67" s="32" t="s">
        <v>786</v>
      </c>
      <c r="W67" s="5"/>
    </row>
    <row r="68" spans="1:23" ht="46.15" x14ac:dyDescent="0.45">
      <c r="A68" s="15">
        <v>64</v>
      </c>
      <c r="B68" s="15">
        <v>692</v>
      </c>
      <c r="C68" s="15" t="s">
        <v>774</v>
      </c>
      <c r="D68" s="3" t="s">
        <v>99</v>
      </c>
      <c r="E68" s="3" t="s">
        <v>266</v>
      </c>
      <c r="F68" s="15" t="s">
        <v>267</v>
      </c>
      <c r="G68" s="15" t="s">
        <v>170</v>
      </c>
      <c r="H68" s="19" t="s">
        <v>364</v>
      </c>
      <c r="I68" s="3" t="s">
        <v>450</v>
      </c>
      <c r="J68" s="15" t="s">
        <v>510</v>
      </c>
      <c r="K68" s="15" t="s">
        <v>663</v>
      </c>
      <c r="L68" s="3" t="s">
        <v>528</v>
      </c>
      <c r="M68" s="15" t="s">
        <v>529</v>
      </c>
      <c r="N68" s="15" t="s">
        <v>514</v>
      </c>
      <c r="O68" s="30">
        <v>3970</v>
      </c>
      <c r="P68" s="28">
        <v>1000</v>
      </c>
      <c r="Q68" s="28">
        <f>ROUNDDOWN((P68*30%),0)</f>
        <v>300</v>
      </c>
      <c r="R68" s="27" t="s">
        <v>779</v>
      </c>
      <c r="S68" s="36"/>
      <c r="T68" s="15"/>
      <c r="U68" s="15"/>
      <c r="V68" s="32" t="s">
        <v>783</v>
      </c>
      <c r="W68" s="5"/>
    </row>
    <row r="69" spans="1:23" ht="61.5" x14ac:dyDescent="0.45">
      <c r="A69" s="36">
        <v>65</v>
      </c>
      <c r="B69" s="36">
        <v>692</v>
      </c>
      <c r="C69" s="15" t="s">
        <v>776</v>
      </c>
      <c r="D69" s="3" t="s">
        <v>100</v>
      </c>
      <c r="E69" s="3" t="s">
        <v>266</v>
      </c>
      <c r="F69" s="15" t="s">
        <v>268</v>
      </c>
      <c r="G69" s="15" t="s">
        <v>269</v>
      </c>
      <c r="H69" s="19" t="s">
        <v>451</v>
      </c>
      <c r="I69" s="3" t="s">
        <v>452</v>
      </c>
      <c r="J69" s="15" t="s">
        <v>510</v>
      </c>
      <c r="K69" s="15" t="s">
        <v>664</v>
      </c>
      <c r="L69" s="3" t="s">
        <v>665</v>
      </c>
      <c r="M69" s="15" t="s">
        <v>666</v>
      </c>
      <c r="N69" s="15" t="s">
        <v>514</v>
      </c>
      <c r="O69" s="30">
        <v>23988</v>
      </c>
      <c r="P69" s="28">
        <v>510</v>
      </c>
      <c r="Q69" s="28">
        <f>ROUNDDOWN((P69*30%),0)</f>
        <v>153</v>
      </c>
      <c r="R69" s="27" t="s">
        <v>779</v>
      </c>
      <c r="S69" s="36"/>
      <c r="T69" s="15"/>
      <c r="U69" s="15"/>
      <c r="V69" s="32" t="s">
        <v>784</v>
      </c>
      <c r="W69" s="5"/>
    </row>
    <row r="70" spans="1:23" ht="30.75" x14ac:dyDescent="0.45">
      <c r="A70" s="15">
        <v>66</v>
      </c>
      <c r="B70" s="15">
        <v>695</v>
      </c>
      <c r="C70" s="15" t="s">
        <v>776</v>
      </c>
      <c r="D70" s="3" t="s">
        <v>101</v>
      </c>
      <c r="E70" s="3" t="s">
        <v>270</v>
      </c>
      <c r="F70" s="15" t="s">
        <v>271</v>
      </c>
      <c r="G70" s="15" t="s">
        <v>156</v>
      </c>
      <c r="H70" s="19" t="s">
        <v>364</v>
      </c>
      <c r="I70" s="3" t="s">
        <v>409</v>
      </c>
      <c r="J70" s="15" t="s">
        <v>530</v>
      </c>
      <c r="K70" s="15" t="s">
        <v>667</v>
      </c>
      <c r="L70" s="3" t="s">
        <v>668</v>
      </c>
      <c r="M70" s="15" t="s">
        <v>544</v>
      </c>
      <c r="N70" s="15" t="s">
        <v>526</v>
      </c>
      <c r="O70" s="30">
        <v>525000</v>
      </c>
      <c r="P70" s="28">
        <v>110</v>
      </c>
      <c r="Q70" s="28">
        <f>ROUNDDOWN((P70*30%),0)</f>
        <v>33</v>
      </c>
      <c r="R70" s="27" t="s">
        <v>779</v>
      </c>
      <c r="S70" s="36"/>
      <c r="T70" s="15"/>
      <c r="U70" s="15"/>
      <c r="V70" s="33" t="s">
        <v>815</v>
      </c>
    </row>
    <row r="71" spans="1:23" ht="46.15" x14ac:dyDescent="0.45">
      <c r="A71" s="36">
        <v>67</v>
      </c>
      <c r="B71" s="36">
        <v>695</v>
      </c>
      <c r="C71" s="15" t="s">
        <v>775</v>
      </c>
      <c r="D71" s="3" t="s">
        <v>102</v>
      </c>
      <c r="E71" s="3" t="s">
        <v>270</v>
      </c>
      <c r="F71" s="15" t="s">
        <v>271</v>
      </c>
      <c r="G71" s="15" t="s">
        <v>170</v>
      </c>
      <c r="H71" s="19" t="s">
        <v>364</v>
      </c>
      <c r="I71" s="3" t="s">
        <v>453</v>
      </c>
      <c r="J71" s="15" t="s">
        <v>510</v>
      </c>
      <c r="K71" s="15" t="s">
        <v>669</v>
      </c>
      <c r="L71" s="3" t="s">
        <v>528</v>
      </c>
      <c r="M71" s="15" t="s">
        <v>529</v>
      </c>
      <c r="N71" s="15" t="s">
        <v>514</v>
      </c>
      <c r="O71" s="30">
        <v>12100</v>
      </c>
      <c r="P71" s="28">
        <v>1500</v>
      </c>
      <c r="Q71" s="28">
        <f>ROUNDDOWN((P71*30%),0)</f>
        <v>450</v>
      </c>
      <c r="R71" s="27" t="s">
        <v>779</v>
      </c>
      <c r="S71" s="36"/>
      <c r="T71" s="15"/>
      <c r="U71" s="15"/>
      <c r="V71" s="33" t="s">
        <v>783</v>
      </c>
    </row>
    <row r="72" spans="1:23" ht="46.15" x14ac:dyDescent="0.45">
      <c r="A72" s="15">
        <v>68</v>
      </c>
      <c r="B72" s="15">
        <v>709</v>
      </c>
      <c r="C72" s="15" t="s">
        <v>774</v>
      </c>
      <c r="D72" s="3" t="s">
        <v>103</v>
      </c>
      <c r="E72" s="3" t="s">
        <v>272</v>
      </c>
      <c r="F72" s="15" t="s">
        <v>273</v>
      </c>
      <c r="G72" s="15" t="s">
        <v>177</v>
      </c>
      <c r="H72" s="19" t="s">
        <v>454</v>
      </c>
      <c r="I72" s="3" t="s">
        <v>455</v>
      </c>
      <c r="J72" s="15" t="s">
        <v>510</v>
      </c>
      <c r="K72" s="15" t="s">
        <v>670</v>
      </c>
      <c r="L72" s="3" t="s">
        <v>671</v>
      </c>
      <c r="M72" s="15" t="s">
        <v>513</v>
      </c>
      <c r="N72" s="15" t="s">
        <v>514</v>
      </c>
      <c r="O72" s="30">
        <v>3300</v>
      </c>
      <c r="P72" s="28">
        <v>21000</v>
      </c>
      <c r="Q72" s="28">
        <f>ROUNDDOWN((P72*30%),0)</f>
        <v>6300</v>
      </c>
      <c r="R72" s="27" t="s">
        <v>779</v>
      </c>
      <c r="S72" s="36"/>
      <c r="T72" s="15"/>
      <c r="U72" s="15"/>
      <c r="V72" s="32" t="s">
        <v>817</v>
      </c>
      <c r="W72" s="5"/>
    </row>
    <row r="73" spans="1:23" ht="61.5" x14ac:dyDescent="0.45">
      <c r="A73" s="36">
        <v>69</v>
      </c>
      <c r="B73" s="36">
        <v>994</v>
      </c>
      <c r="C73" s="15" t="s">
        <v>774</v>
      </c>
      <c r="D73" s="3" t="s">
        <v>104</v>
      </c>
      <c r="E73" s="3" t="s">
        <v>274</v>
      </c>
      <c r="F73" s="15" t="s">
        <v>275</v>
      </c>
      <c r="G73" s="15" t="s">
        <v>156</v>
      </c>
      <c r="H73" s="19" t="s">
        <v>364</v>
      </c>
      <c r="I73" s="3" t="s">
        <v>456</v>
      </c>
      <c r="J73" s="15" t="s">
        <v>510</v>
      </c>
      <c r="K73" s="15" t="s">
        <v>672</v>
      </c>
      <c r="L73" s="3" t="s">
        <v>673</v>
      </c>
      <c r="M73" s="15" t="s">
        <v>513</v>
      </c>
      <c r="N73" s="15" t="s">
        <v>514</v>
      </c>
      <c r="O73" s="30">
        <v>2900</v>
      </c>
      <c r="P73" s="28">
        <v>6020</v>
      </c>
      <c r="Q73" s="28">
        <f>ROUNDDOWN((P73*30%),0)</f>
        <v>1806</v>
      </c>
      <c r="R73" s="27" t="s">
        <v>779</v>
      </c>
      <c r="S73" s="36"/>
      <c r="T73" s="15"/>
      <c r="U73" s="15"/>
      <c r="V73" s="32" t="s">
        <v>818</v>
      </c>
      <c r="W73" s="5"/>
    </row>
    <row r="74" spans="1:23" ht="61.5" x14ac:dyDescent="0.45">
      <c r="A74" s="15">
        <v>70</v>
      </c>
      <c r="B74" s="15">
        <v>719</v>
      </c>
      <c r="C74" s="15" t="s">
        <v>774</v>
      </c>
      <c r="D74" s="3" t="s">
        <v>105</v>
      </c>
      <c r="E74" s="3" t="s">
        <v>276</v>
      </c>
      <c r="F74" s="15" t="s">
        <v>277</v>
      </c>
      <c r="G74" s="15" t="s">
        <v>177</v>
      </c>
      <c r="H74" s="19" t="s">
        <v>397</v>
      </c>
      <c r="I74" s="3" t="s">
        <v>457</v>
      </c>
      <c r="J74" s="15" t="s">
        <v>530</v>
      </c>
      <c r="K74" s="15" t="s">
        <v>674</v>
      </c>
      <c r="L74" s="3" t="s">
        <v>675</v>
      </c>
      <c r="M74" s="15" t="s">
        <v>513</v>
      </c>
      <c r="N74" s="15" t="s">
        <v>545</v>
      </c>
      <c r="O74" s="30">
        <v>504</v>
      </c>
      <c r="P74" s="28">
        <v>3000</v>
      </c>
      <c r="Q74" s="28">
        <f>ROUNDDOWN((P74*30%),0)</f>
        <v>900</v>
      </c>
      <c r="R74" s="27" t="s">
        <v>779</v>
      </c>
      <c r="S74" s="36"/>
      <c r="T74" s="15"/>
      <c r="U74" s="15"/>
      <c r="V74" s="32" t="s">
        <v>800</v>
      </c>
      <c r="W74" s="5"/>
    </row>
    <row r="75" spans="1:23" ht="123" x14ac:dyDescent="0.45">
      <c r="A75" s="36">
        <v>71</v>
      </c>
      <c r="B75" s="36">
        <v>749</v>
      </c>
      <c r="C75" s="15" t="s">
        <v>774</v>
      </c>
      <c r="D75" s="3" t="s">
        <v>106</v>
      </c>
      <c r="E75" s="3" t="s">
        <v>278</v>
      </c>
      <c r="F75" s="15" t="s">
        <v>279</v>
      </c>
      <c r="G75" s="15" t="s">
        <v>156</v>
      </c>
      <c r="H75" s="19" t="s">
        <v>364</v>
      </c>
      <c r="I75" s="3" t="s">
        <v>458</v>
      </c>
      <c r="J75" s="15" t="s">
        <v>510</v>
      </c>
      <c r="K75" s="15" t="s">
        <v>676</v>
      </c>
      <c r="L75" s="3" t="s">
        <v>528</v>
      </c>
      <c r="M75" s="15" t="s">
        <v>529</v>
      </c>
      <c r="N75" s="15" t="s">
        <v>514</v>
      </c>
      <c r="O75" s="30">
        <v>39400</v>
      </c>
      <c r="P75" s="28">
        <v>5000</v>
      </c>
      <c r="Q75" s="28">
        <f>ROUNDDOWN((P75*30%),0)</f>
        <v>1500</v>
      </c>
      <c r="R75" s="27" t="s">
        <v>779</v>
      </c>
      <c r="S75" s="36" t="str">
        <f>VLOOKUP(B75,[1]GỐC!$B:$F,5,0)</f>
        <v>Quỹ bảo hiểm y tế không thanh toán trường hợp tiêm trong dịch kính, tiêm nội nhãn.</v>
      </c>
      <c r="T75" s="15"/>
      <c r="U75" s="15"/>
      <c r="V75" s="32" t="s">
        <v>783</v>
      </c>
      <c r="W75" s="5"/>
    </row>
    <row r="76" spans="1:23" ht="61.5" x14ac:dyDescent="0.45">
      <c r="A76" s="15">
        <v>72</v>
      </c>
      <c r="B76" s="15">
        <v>754</v>
      </c>
      <c r="C76" s="15" t="s">
        <v>774</v>
      </c>
      <c r="D76" s="3" t="s">
        <v>107</v>
      </c>
      <c r="E76" s="3" t="s">
        <v>280</v>
      </c>
      <c r="F76" s="15" t="s">
        <v>277</v>
      </c>
      <c r="G76" s="15" t="s">
        <v>170</v>
      </c>
      <c r="H76" s="19" t="s">
        <v>375</v>
      </c>
      <c r="I76" s="3" t="s">
        <v>459</v>
      </c>
      <c r="J76" s="15" t="s">
        <v>510</v>
      </c>
      <c r="K76" s="15" t="s">
        <v>677</v>
      </c>
      <c r="L76" s="3" t="s">
        <v>528</v>
      </c>
      <c r="M76" s="15" t="s">
        <v>529</v>
      </c>
      <c r="N76" s="15" t="s">
        <v>526</v>
      </c>
      <c r="O76" s="30">
        <v>6489</v>
      </c>
      <c r="P76" s="28">
        <v>6770</v>
      </c>
      <c r="Q76" s="28">
        <f>ROUNDDOWN((P76*30%),0)</f>
        <v>2031</v>
      </c>
      <c r="R76" s="27" t="s">
        <v>779</v>
      </c>
      <c r="S76" s="36"/>
      <c r="T76" s="15"/>
      <c r="U76" s="15"/>
      <c r="V76" s="33" t="s">
        <v>783</v>
      </c>
    </row>
    <row r="77" spans="1:23" ht="61.5" x14ac:dyDescent="0.45">
      <c r="A77" s="36">
        <v>73</v>
      </c>
      <c r="B77" s="36">
        <v>755</v>
      </c>
      <c r="C77" s="15" t="s">
        <v>776</v>
      </c>
      <c r="D77" s="3" t="s">
        <v>108</v>
      </c>
      <c r="E77" s="3" t="s">
        <v>281</v>
      </c>
      <c r="F77" s="15" t="s">
        <v>282</v>
      </c>
      <c r="G77" s="15" t="s">
        <v>283</v>
      </c>
      <c r="H77" s="19" t="s">
        <v>411</v>
      </c>
      <c r="I77" s="3" t="s">
        <v>409</v>
      </c>
      <c r="J77" s="15" t="s">
        <v>530</v>
      </c>
      <c r="K77" s="15" t="s">
        <v>678</v>
      </c>
      <c r="L77" s="3" t="s">
        <v>679</v>
      </c>
      <c r="M77" s="15" t="s">
        <v>680</v>
      </c>
      <c r="N77" s="15" t="s">
        <v>526</v>
      </c>
      <c r="O77" s="30">
        <v>34634</v>
      </c>
      <c r="P77" s="28">
        <v>5730</v>
      </c>
      <c r="Q77" s="28">
        <f>ROUNDDOWN((P77*30%),0)</f>
        <v>1719</v>
      </c>
      <c r="R77" s="27" t="s">
        <v>779</v>
      </c>
      <c r="S77" s="36"/>
      <c r="T77" s="15"/>
      <c r="U77" s="15"/>
      <c r="V77" s="33" t="s">
        <v>819</v>
      </c>
    </row>
    <row r="78" spans="1:23" ht="123" x14ac:dyDescent="0.45">
      <c r="A78" s="15">
        <v>74</v>
      </c>
      <c r="B78" s="15">
        <v>755</v>
      </c>
      <c r="C78" s="15" t="s">
        <v>774</v>
      </c>
      <c r="D78" s="3" t="s">
        <v>109</v>
      </c>
      <c r="E78" s="3" t="s">
        <v>281</v>
      </c>
      <c r="F78" s="15" t="s">
        <v>282</v>
      </c>
      <c r="G78" s="15" t="s">
        <v>170</v>
      </c>
      <c r="H78" s="19" t="s">
        <v>375</v>
      </c>
      <c r="I78" s="3" t="s">
        <v>460</v>
      </c>
      <c r="J78" s="15" t="s">
        <v>681</v>
      </c>
      <c r="K78" s="15" t="s">
        <v>682</v>
      </c>
      <c r="L78" s="3" t="s">
        <v>528</v>
      </c>
      <c r="M78" s="15" t="s">
        <v>529</v>
      </c>
      <c r="N78" s="15" t="s">
        <v>526</v>
      </c>
      <c r="O78" s="30">
        <v>14000</v>
      </c>
      <c r="P78" s="28">
        <v>24690</v>
      </c>
      <c r="Q78" s="28">
        <f>ROUNDDOWN((P78*30%),0)</f>
        <v>7407</v>
      </c>
      <c r="R78" s="27" t="s">
        <v>779</v>
      </c>
      <c r="S78" s="36"/>
      <c r="T78" s="15"/>
      <c r="U78" s="15"/>
      <c r="V78" s="33" t="s">
        <v>783</v>
      </c>
    </row>
    <row r="79" spans="1:23" ht="76.900000000000006" x14ac:dyDescent="0.45">
      <c r="A79" s="36">
        <v>75</v>
      </c>
      <c r="B79" s="36">
        <v>756</v>
      </c>
      <c r="C79" s="15" t="s">
        <v>774</v>
      </c>
      <c r="D79" s="3" t="s">
        <v>110</v>
      </c>
      <c r="E79" s="3" t="s">
        <v>284</v>
      </c>
      <c r="F79" s="15" t="s">
        <v>285</v>
      </c>
      <c r="G79" s="15" t="s">
        <v>177</v>
      </c>
      <c r="H79" s="19" t="s">
        <v>379</v>
      </c>
      <c r="I79" s="3" t="s">
        <v>461</v>
      </c>
      <c r="J79" s="15" t="s">
        <v>510</v>
      </c>
      <c r="K79" s="15" t="s">
        <v>683</v>
      </c>
      <c r="L79" s="3" t="s">
        <v>528</v>
      </c>
      <c r="M79" s="15" t="s">
        <v>529</v>
      </c>
      <c r="N79" s="15" t="s">
        <v>545</v>
      </c>
      <c r="O79" s="30">
        <v>85</v>
      </c>
      <c r="P79" s="28">
        <v>37670</v>
      </c>
      <c r="Q79" s="28">
        <f>ROUNDDOWN((P79*30%),0)</f>
        <v>11301</v>
      </c>
      <c r="R79" s="27" t="s">
        <v>779</v>
      </c>
      <c r="S79" s="36"/>
      <c r="T79" s="15"/>
      <c r="U79" s="15"/>
      <c r="V79" s="33" t="s">
        <v>783</v>
      </c>
    </row>
    <row r="80" spans="1:23" ht="30.75" x14ac:dyDescent="0.45">
      <c r="A80" s="15">
        <v>76</v>
      </c>
      <c r="B80" s="15">
        <v>770</v>
      </c>
      <c r="C80" s="15" t="s">
        <v>776</v>
      </c>
      <c r="D80" s="3" t="s">
        <v>111</v>
      </c>
      <c r="E80" s="3" t="s">
        <v>286</v>
      </c>
      <c r="F80" s="15" t="s">
        <v>219</v>
      </c>
      <c r="G80" s="15" t="s">
        <v>287</v>
      </c>
      <c r="H80" s="19" t="s">
        <v>462</v>
      </c>
      <c r="I80" s="3" t="s">
        <v>463</v>
      </c>
      <c r="J80" s="15" t="s">
        <v>510</v>
      </c>
      <c r="K80" s="15" t="s">
        <v>684</v>
      </c>
      <c r="L80" s="3" t="s">
        <v>685</v>
      </c>
      <c r="M80" s="15" t="s">
        <v>555</v>
      </c>
      <c r="N80" s="15" t="s">
        <v>514</v>
      </c>
      <c r="O80" s="30">
        <v>231837</v>
      </c>
      <c r="P80" s="28">
        <v>120</v>
      </c>
      <c r="Q80" s="28">
        <f>ROUNDDOWN((P80*30%),0)</f>
        <v>36</v>
      </c>
      <c r="R80" s="27" t="s">
        <v>779</v>
      </c>
      <c r="S80" s="36"/>
      <c r="T80" s="15"/>
      <c r="U80" s="15"/>
      <c r="V80" s="33" t="s">
        <v>784</v>
      </c>
    </row>
    <row r="81" spans="1:23" ht="153.75" x14ac:dyDescent="0.45">
      <c r="A81" s="36">
        <v>77</v>
      </c>
      <c r="B81" s="36">
        <v>788</v>
      </c>
      <c r="C81" s="15" t="s">
        <v>776</v>
      </c>
      <c r="D81" s="3" t="s">
        <v>112</v>
      </c>
      <c r="E81" s="3" t="s">
        <v>288</v>
      </c>
      <c r="F81" s="15" t="s">
        <v>289</v>
      </c>
      <c r="G81" s="15" t="s">
        <v>156</v>
      </c>
      <c r="H81" s="19" t="s">
        <v>464</v>
      </c>
      <c r="I81" s="3" t="s">
        <v>465</v>
      </c>
      <c r="J81" s="15" t="s">
        <v>510</v>
      </c>
      <c r="K81" s="15" t="s">
        <v>686</v>
      </c>
      <c r="L81" s="3" t="s">
        <v>687</v>
      </c>
      <c r="M81" s="15" t="s">
        <v>688</v>
      </c>
      <c r="N81" s="15" t="s">
        <v>689</v>
      </c>
      <c r="O81" s="30">
        <v>198000</v>
      </c>
      <c r="P81" s="28">
        <v>1260</v>
      </c>
      <c r="Q81" s="28">
        <f>ROUNDDOWN((P81*30%),0)</f>
        <v>378</v>
      </c>
      <c r="R81" s="27" t="s">
        <v>779</v>
      </c>
      <c r="S81" s="36" t="str">
        <f>VLOOKUP(B81,[1]GỐC!$B:$F,5,0)</f>
        <v>Quỹ bảo hiểm y tế thanh toán 50% đối với dạng trộn. hỗn hợp giữa insulin Degludec và insulin Aspart; thanh toán 100% đối với các dạng còn lại.</v>
      </c>
      <c r="T81" s="15"/>
      <c r="U81" s="15"/>
      <c r="V81" s="33" t="s">
        <v>782</v>
      </c>
    </row>
    <row r="82" spans="1:23" ht="153.75" x14ac:dyDescent="0.45">
      <c r="A82" s="15">
        <v>78</v>
      </c>
      <c r="B82" s="15">
        <v>788</v>
      </c>
      <c r="C82" s="15" t="s">
        <v>776</v>
      </c>
      <c r="D82" s="3" t="s">
        <v>113</v>
      </c>
      <c r="E82" s="3" t="s">
        <v>288</v>
      </c>
      <c r="F82" s="15" t="s">
        <v>289</v>
      </c>
      <c r="G82" s="15" t="s">
        <v>156</v>
      </c>
      <c r="H82" s="19" t="s">
        <v>464</v>
      </c>
      <c r="I82" s="3" t="s">
        <v>465</v>
      </c>
      <c r="J82" s="15" t="s">
        <v>510</v>
      </c>
      <c r="K82" s="15" t="s">
        <v>690</v>
      </c>
      <c r="L82" s="3" t="s">
        <v>687</v>
      </c>
      <c r="M82" s="15" t="s">
        <v>691</v>
      </c>
      <c r="N82" s="15" t="s">
        <v>689</v>
      </c>
      <c r="O82" s="30">
        <v>198000</v>
      </c>
      <c r="P82" s="28">
        <v>1100</v>
      </c>
      <c r="Q82" s="28">
        <f>ROUNDDOWN((P82*30%),0)</f>
        <v>330</v>
      </c>
      <c r="R82" s="27" t="s">
        <v>779</v>
      </c>
      <c r="S82" s="36" t="str">
        <f>VLOOKUP(B82,[1]GỐC!$B:$F,5,0)</f>
        <v>Quỹ bảo hiểm y tế thanh toán 50% đối với dạng trộn. hỗn hợp giữa insulin Degludec và insulin Aspart; thanh toán 100% đối với các dạng còn lại.</v>
      </c>
      <c r="T82" s="15"/>
      <c r="U82" s="15"/>
      <c r="V82" s="33" t="s">
        <v>782</v>
      </c>
    </row>
    <row r="83" spans="1:23" ht="30.75" x14ac:dyDescent="0.45">
      <c r="A83" s="36">
        <v>79</v>
      </c>
      <c r="B83" s="36">
        <v>791</v>
      </c>
      <c r="C83" s="15" t="s">
        <v>776</v>
      </c>
      <c r="D83" s="3" t="s">
        <v>114</v>
      </c>
      <c r="E83" s="3" t="s">
        <v>290</v>
      </c>
      <c r="F83" s="15" t="s">
        <v>291</v>
      </c>
      <c r="G83" s="15" t="s">
        <v>156</v>
      </c>
      <c r="H83" s="19" t="s">
        <v>464</v>
      </c>
      <c r="I83" s="3" t="s">
        <v>466</v>
      </c>
      <c r="J83" s="15" t="s">
        <v>510</v>
      </c>
      <c r="K83" s="15" t="s">
        <v>692</v>
      </c>
      <c r="L83" s="3" t="s">
        <v>693</v>
      </c>
      <c r="M83" s="15" t="s">
        <v>694</v>
      </c>
      <c r="N83" s="15" t="s">
        <v>526</v>
      </c>
      <c r="O83" s="30">
        <v>115000</v>
      </c>
      <c r="P83" s="28">
        <v>1370</v>
      </c>
      <c r="Q83" s="28">
        <f>ROUNDDOWN((P83*30%),0)</f>
        <v>411</v>
      </c>
      <c r="R83" s="27" t="s">
        <v>779</v>
      </c>
      <c r="S83" s="36"/>
      <c r="T83" s="15"/>
      <c r="U83" s="15"/>
      <c r="V83" s="33" t="s">
        <v>799</v>
      </c>
    </row>
    <row r="84" spans="1:23" ht="61.5" x14ac:dyDescent="0.45">
      <c r="A84" s="15">
        <v>80</v>
      </c>
      <c r="B84" s="15">
        <v>804</v>
      </c>
      <c r="C84" s="15" t="s">
        <v>776</v>
      </c>
      <c r="D84" s="3" t="s">
        <v>115</v>
      </c>
      <c r="E84" s="3" t="s">
        <v>292</v>
      </c>
      <c r="F84" s="15" t="s">
        <v>293</v>
      </c>
      <c r="G84" s="15" t="s">
        <v>177</v>
      </c>
      <c r="H84" s="19" t="s">
        <v>379</v>
      </c>
      <c r="I84" s="3" t="s">
        <v>467</v>
      </c>
      <c r="J84" s="15" t="s">
        <v>510</v>
      </c>
      <c r="K84" s="15" t="s">
        <v>695</v>
      </c>
      <c r="L84" s="3" t="s">
        <v>696</v>
      </c>
      <c r="M84" s="15" t="s">
        <v>555</v>
      </c>
      <c r="N84" s="15" t="s">
        <v>545</v>
      </c>
      <c r="O84" s="30">
        <v>864</v>
      </c>
      <c r="P84" s="28">
        <v>602200</v>
      </c>
      <c r="Q84" s="28">
        <f>ROUNDDOWN((P84*30%),0)</f>
        <v>180660</v>
      </c>
      <c r="R84" s="27" t="s">
        <v>779</v>
      </c>
      <c r="S84" s="36"/>
      <c r="T84" s="15"/>
      <c r="U84" s="15"/>
      <c r="V84" s="33" t="s">
        <v>784</v>
      </c>
    </row>
    <row r="85" spans="1:23" ht="46.15" x14ac:dyDescent="0.45">
      <c r="A85" s="36">
        <v>81</v>
      </c>
      <c r="B85" s="36">
        <v>813</v>
      </c>
      <c r="C85" s="15" t="s">
        <v>774</v>
      </c>
      <c r="D85" s="3" t="s">
        <v>116</v>
      </c>
      <c r="E85" s="3" t="s">
        <v>294</v>
      </c>
      <c r="F85" s="15" t="s">
        <v>295</v>
      </c>
      <c r="G85" s="15" t="s">
        <v>156</v>
      </c>
      <c r="H85" s="19" t="s">
        <v>364</v>
      </c>
      <c r="I85" s="3" t="s">
        <v>468</v>
      </c>
      <c r="J85" s="15" t="s">
        <v>530</v>
      </c>
      <c r="K85" s="15" t="s">
        <v>697</v>
      </c>
      <c r="L85" s="3" t="s">
        <v>698</v>
      </c>
      <c r="M85" s="15" t="s">
        <v>513</v>
      </c>
      <c r="N85" s="15" t="s">
        <v>526</v>
      </c>
      <c r="O85" s="30">
        <v>507014</v>
      </c>
      <c r="P85" s="28">
        <v>60</v>
      </c>
      <c r="Q85" s="28">
        <f>ROUNDDOWN((P85*30%),0)</f>
        <v>18</v>
      </c>
      <c r="R85" s="27" t="s">
        <v>779</v>
      </c>
      <c r="S85" s="36"/>
      <c r="T85" s="15"/>
      <c r="U85" s="15"/>
      <c r="V85" s="33" t="s">
        <v>820</v>
      </c>
    </row>
    <row r="86" spans="1:23" ht="46.15" x14ac:dyDescent="0.45">
      <c r="A86" s="15">
        <v>82</v>
      </c>
      <c r="B86" s="15">
        <v>813</v>
      </c>
      <c r="C86" s="15" t="s">
        <v>774</v>
      </c>
      <c r="D86" s="3" t="s">
        <v>117</v>
      </c>
      <c r="E86" s="3" t="s">
        <v>294</v>
      </c>
      <c r="F86" s="15" t="s">
        <v>295</v>
      </c>
      <c r="G86" s="15" t="s">
        <v>156</v>
      </c>
      <c r="H86" s="19" t="s">
        <v>364</v>
      </c>
      <c r="I86" s="3" t="s">
        <v>468</v>
      </c>
      <c r="J86" s="15" t="s">
        <v>530</v>
      </c>
      <c r="K86" s="15" t="s">
        <v>699</v>
      </c>
      <c r="L86" s="3" t="s">
        <v>698</v>
      </c>
      <c r="M86" s="15" t="s">
        <v>513</v>
      </c>
      <c r="N86" s="15" t="s">
        <v>526</v>
      </c>
      <c r="O86" s="30">
        <v>507014</v>
      </c>
      <c r="P86" s="28">
        <v>3600</v>
      </c>
      <c r="Q86" s="28">
        <f>ROUNDDOWN((P86*30%),0)</f>
        <v>1080</v>
      </c>
      <c r="R86" s="27" t="s">
        <v>779</v>
      </c>
      <c r="S86" s="36"/>
      <c r="T86" s="15"/>
      <c r="U86" s="15"/>
      <c r="V86" s="33" t="s">
        <v>820</v>
      </c>
    </row>
    <row r="87" spans="1:23" ht="153.75" x14ac:dyDescent="0.45">
      <c r="A87" s="36">
        <v>83</v>
      </c>
      <c r="B87" s="36">
        <v>814</v>
      </c>
      <c r="C87" s="15" t="s">
        <v>774</v>
      </c>
      <c r="D87" s="3" t="s">
        <v>118</v>
      </c>
      <c r="E87" s="3" t="s">
        <v>296</v>
      </c>
      <c r="F87" s="15" t="s">
        <v>297</v>
      </c>
      <c r="G87" s="15" t="s">
        <v>156</v>
      </c>
      <c r="H87" s="19" t="s">
        <v>364</v>
      </c>
      <c r="I87" s="3" t="s">
        <v>469</v>
      </c>
      <c r="J87" s="15" t="s">
        <v>700</v>
      </c>
      <c r="K87" s="15" t="s">
        <v>701</v>
      </c>
      <c r="L87" s="3" t="s">
        <v>698</v>
      </c>
      <c r="M87" s="15" t="s">
        <v>513</v>
      </c>
      <c r="N87" s="15" t="s">
        <v>514</v>
      </c>
      <c r="O87" s="30">
        <v>34852</v>
      </c>
      <c r="P87" s="28">
        <v>11280</v>
      </c>
      <c r="Q87" s="28">
        <f>ROUNDDOWN((P87*30%),0)</f>
        <v>3384</v>
      </c>
      <c r="R87" s="27" t="s">
        <v>779</v>
      </c>
      <c r="S87" s="36"/>
      <c r="T87" s="15"/>
      <c r="U87" s="15"/>
      <c r="V87" s="33" t="s">
        <v>820</v>
      </c>
    </row>
    <row r="88" spans="1:23" ht="46.15" x14ac:dyDescent="0.45">
      <c r="A88" s="15">
        <v>84</v>
      </c>
      <c r="B88" s="15">
        <v>835</v>
      </c>
      <c r="C88" s="15" t="s">
        <v>776</v>
      </c>
      <c r="D88" s="3" t="s">
        <v>119</v>
      </c>
      <c r="E88" s="3" t="s">
        <v>298</v>
      </c>
      <c r="F88" s="15" t="s">
        <v>299</v>
      </c>
      <c r="G88" s="15" t="s">
        <v>163</v>
      </c>
      <c r="H88" s="19" t="s">
        <v>470</v>
      </c>
      <c r="I88" s="3" t="s">
        <v>471</v>
      </c>
      <c r="J88" s="15" t="s">
        <v>510</v>
      </c>
      <c r="K88" s="15" t="s">
        <v>702</v>
      </c>
      <c r="L88" s="3" t="s">
        <v>703</v>
      </c>
      <c r="M88" s="15" t="s">
        <v>555</v>
      </c>
      <c r="N88" s="15" t="s">
        <v>640</v>
      </c>
      <c r="O88" s="30">
        <v>65000</v>
      </c>
      <c r="P88" s="28">
        <v>720</v>
      </c>
      <c r="Q88" s="28">
        <f>ROUNDDOWN((P88*30%),0)</f>
        <v>216</v>
      </c>
      <c r="R88" s="27" t="s">
        <v>779</v>
      </c>
      <c r="S88" s="36"/>
      <c r="T88" s="15"/>
      <c r="U88" s="15"/>
      <c r="V88" s="32" t="s">
        <v>821</v>
      </c>
      <c r="W88" s="5"/>
    </row>
    <row r="89" spans="1:23" ht="30.75" x14ac:dyDescent="0.45">
      <c r="A89" s="36">
        <v>85</v>
      </c>
      <c r="B89" s="36">
        <v>849</v>
      </c>
      <c r="C89" s="15" t="s">
        <v>776</v>
      </c>
      <c r="D89" s="3" t="s">
        <v>120</v>
      </c>
      <c r="E89" s="3" t="s">
        <v>300</v>
      </c>
      <c r="F89" s="15" t="s">
        <v>301</v>
      </c>
      <c r="G89" s="15" t="s">
        <v>163</v>
      </c>
      <c r="H89" s="19" t="s">
        <v>472</v>
      </c>
      <c r="I89" s="3" t="s">
        <v>473</v>
      </c>
      <c r="J89" s="15" t="s">
        <v>530</v>
      </c>
      <c r="K89" s="15" t="s">
        <v>704</v>
      </c>
      <c r="L89" s="3" t="s">
        <v>705</v>
      </c>
      <c r="M89" s="15" t="s">
        <v>706</v>
      </c>
      <c r="N89" s="15" t="s">
        <v>526</v>
      </c>
      <c r="O89" s="30">
        <v>219500</v>
      </c>
      <c r="P89" s="28">
        <v>720</v>
      </c>
      <c r="Q89" s="28">
        <f>ROUNDDOWN((P89*30%),0)</f>
        <v>216</v>
      </c>
      <c r="R89" s="27" t="s">
        <v>779</v>
      </c>
      <c r="S89" s="36"/>
      <c r="T89" s="15"/>
      <c r="U89" s="15"/>
      <c r="V89" s="32" t="s">
        <v>821</v>
      </c>
      <c r="W89" s="5"/>
    </row>
    <row r="90" spans="1:23" ht="61.5" x14ac:dyDescent="0.45">
      <c r="A90" s="15">
        <v>86</v>
      </c>
      <c r="B90" s="15">
        <v>872</v>
      </c>
      <c r="C90" s="15" t="s">
        <v>774</v>
      </c>
      <c r="D90" s="3" t="s">
        <v>121</v>
      </c>
      <c r="E90" s="3" t="s">
        <v>302</v>
      </c>
      <c r="F90" s="15" t="s">
        <v>303</v>
      </c>
      <c r="G90" s="15" t="s">
        <v>177</v>
      </c>
      <c r="H90" s="19" t="s">
        <v>379</v>
      </c>
      <c r="I90" s="3" t="s">
        <v>381</v>
      </c>
      <c r="J90" s="15" t="s">
        <v>510</v>
      </c>
      <c r="K90" s="15" t="s">
        <v>707</v>
      </c>
      <c r="L90" s="3" t="s">
        <v>547</v>
      </c>
      <c r="M90" s="15" t="s">
        <v>513</v>
      </c>
      <c r="N90" s="15" t="s">
        <v>545</v>
      </c>
      <c r="O90" s="30">
        <v>172</v>
      </c>
      <c r="P90" s="28">
        <v>50000</v>
      </c>
      <c r="Q90" s="28">
        <f>ROUNDDOWN((P90*30%),0)</f>
        <v>15000</v>
      </c>
      <c r="R90" s="27" t="s">
        <v>779</v>
      </c>
      <c r="S90" s="36"/>
      <c r="T90" s="15"/>
      <c r="U90" s="15"/>
      <c r="V90" s="33" t="s">
        <v>787</v>
      </c>
    </row>
    <row r="91" spans="1:23" ht="30.75" x14ac:dyDescent="0.45">
      <c r="A91" s="36">
        <v>87</v>
      </c>
      <c r="B91" s="36">
        <v>872</v>
      </c>
      <c r="C91" s="15" t="s">
        <v>776</v>
      </c>
      <c r="D91" s="3" t="s">
        <v>122</v>
      </c>
      <c r="E91" s="3" t="s">
        <v>302</v>
      </c>
      <c r="F91" s="15" t="s">
        <v>304</v>
      </c>
      <c r="G91" s="15" t="s">
        <v>177</v>
      </c>
      <c r="H91" s="19" t="s">
        <v>379</v>
      </c>
      <c r="I91" s="3" t="s">
        <v>474</v>
      </c>
      <c r="J91" s="15" t="s">
        <v>530</v>
      </c>
      <c r="K91" s="15" t="s">
        <v>708</v>
      </c>
      <c r="L91" s="3" t="s">
        <v>709</v>
      </c>
      <c r="M91" s="15" t="s">
        <v>710</v>
      </c>
      <c r="N91" s="15" t="s">
        <v>545</v>
      </c>
      <c r="O91" s="30">
        <v>5616</v>
      </c>
      <c r="P91" s="28">
        <v>71600</v>
      </c>
      <c r="Q91" s="28">
        <f>ROUNDDOWN((P91*30%),0)</f>
        <v>21480</v>
      </c>
      <c r="R91" s="27" t="s">
        <v>779</v>
      </c>
      <c r="S91" s="36"/>
      <c r="T91" s="15"/>
      <c r="U91" s="15"/>
      <c r="V91" s="33" t="s">
        <v>822</v>
      </c>
    </row>
    <row r="92" spans="1:23" ht="46.15" x14ac:dyDescent="0.45">
      <c r="A92" s="15">
        <v>88</v>
      </c>
      <c r="B92" s="15">
        <v>872</v>
      </c>
      <c r="C92" s="15" t="s">
        <v>774</v>
      </c>
      <c r="D92" s="3" t="s">
        <v>123</v>
      </c>
      <c r="E92" s="3" t="s">
        <v>302</v>
      </c>
      <c r="F92" s="15" t="s">
        <v>305</v>
      </c>
      <c r="G92" s="15" t="s">
        <v>177</v>
      </c>
      <c r="H92" s="19" t="s">
        <v>379</v>
      </c>
      <c r="I92" s="3" t="s">
        <v>435</v>
      </c>
      <c r="J92" s="15" t="s">
        <v>510</v>
      </c>
      <c r="K92" s="15" t="s">
        <v>711</v>
      </c>
      <c r="L92" s="3" t="s">
        <v>712</v>
      </c>
      <c r="M92" s="15" t="s">
        <v>513</v>
      </c>
      <c r="N92" s="15" t="s">
        <v>545</v>
      </c>
      <c r="O92" s="30">
        <v>352</v>
      </c>
      <c r="P92" s="28">
        <v>53110</v>
      </c>
      <c r="Q92" s="28">
        <f>ROUNDDOWN((P92*30%),0)</f>
        <v>15933</v>
      </c>
      <c r="R92" s="27" t="s">
        <v>779</v>
      </c>
      <c r="S92" s="36"/>
      <c r="T92" s="15"/>
      <c r="U92" s="15"/>
      <c r="V92" s="33" t="s">
        <v>823</v>
      </c>
    </row>
    <row r="93" spans="1:23" ht="46.15" x14ac:dyDescent="0.45">
      <c r="A93" s="36">
        <v>89</v>
      </c>
      <c r="B93" s="36">
        <v>882</v>
      </c>
      <c r="C93" s="15" t="s">
        <v>776</v>
      </c>
      <c r="D93" s="3" t="s">
        <v>124</v>
      </c>
      <c r="E93" s="3" t="s">
        <v>306</v>
      </c>
      <c r="F93" s="15" t="s">
        <v>307</v>
      </c>
      <c r="G93" s="15" t="s">
        <v>308</v>
      </c>
      <c r="H93" s="19" t="s">
        <v>475</v>
      </c>
      <c r="I93" s="3" t="s">
        <v>476</v>
      </c>
      <c r="J93" s="15" t="s">
        <v>530</v>
      </c>
      <c r="K93" s="15" t="s">
        <v>713</v>
      </c>
      <c r="L93" s="3" t="s">
        <v>714</v>
      </c>
      <c r="M93" s="15" t="s">
        <v>555</v>
      </c>
      <c r="N93" s="15" t="s">
        <v>545</v>
      </c>
      <c r="O93" s="30">
        <v>2880</v>
      </c>
      <c r="P93" s="28">
        <v>1000</v>
      </c>
      <c r="Q93" s="28">
        <f>ROUNDDOWN((P93*30%),0)</f>
        <v>300</v>
      </c>
      <c r="R93" s="27" t="s">
        <v>779</v>
      </c>
      <c r="S93" s="36"/>
      <c r="T93" s="15"/>
      <c r="U93" s="15"/>
      <c r="V93" s="33" t="s">
        <v>821</v>
      </c>
    </row>
    <row r="94" spans="1:23" ht="46.15" x14ac:dyDescent="0.45">
      <c r="A94" s="15">
        <v>90</v>
      </c>
      <c r="B94" s="15">
        <v>883</v>
      </c>
      <c r="C94" s="15" t="s">
        <v>774</v>
      </c>
      <c r="D94" s="3" t="s">
        <v>125</v>
      </c>
      <c r="E94" s="3" t="s">
        <v>309</v>
      </c>
      <c r="F94" s="15" t="s">
        <v>310</v>
      </c>
      <c r="G94" s="15" t="s">
        <v>311</v>
      </c>
      <c r="H94" s="19" t="s">
        <v>477</v>
      </c>
      <c r="I94" s="3" t="s">
        <v>478</v>
      </c>
      <c r="J94" s="15" t="s">
        <v>510</v>
      </c>
      <c r="K94" s="15" t="s">
        <v>715</v>
      </c>
      <c r="L94" s="3" t="s">
        <v>712</v>
      </c>
      <c r="M94" s="15" t="s">
        <v>513</v>
      </c>
      <c r="N94" s="15" t="s">
        <v>556</v>
      </c>
      <c r="O94" s="30">
        <v>21000</v>
      </c>
      <c r="P94" s="28">
        <v>50</v>
      </c>
      <c r="Q94" s="28">
        <f>ROUNDDOWN((P94*30%),0)</f>
        <v>15</v>
      </c>
      <c r="R94" s="27" t="s">
        <v>779</v>
      </c>
      <c r="S94" s="36"/>
      <c r="T94" s="15"/>
      <c r="U94" s="15"/>
      <c r="V94" s="32" t="s">
        <v>823</v>
      </c>
      <c r="W94" s="5"/>
    </row>
    <row r="95" spans="1:23" ht="123" x14ac:dyDescent="0.45">
      <c r="A95" s="36">
        <v>91</v>
      </c>
      <c r="B95" s="36">
        <v>895</v>
      </c>
      <c r="C95" s="15" t="s">
        <v>778</v>
      </c>
      <c r="D95" s="3" t="s">
        <v>126</v>
      </c>
      <c r="E95" s="3" t="s">
        <v>312</v>
      </c>
      <c r="F95" s="15" t="s">
        <v>313</v>
      </c>
      <c r="G95" s="15" t="s">
        <v>314</v>
      </c>
      <c r="H95" s="19" t="s">
        <v>479</v>
      </c>
      <c r="I95" s="3" t="s">
        <v>480</v>
      </c>
      <c r="J95" s="15" t="s">
        <v>530</v>
      </c>
      <c r="K95" s="15" t="s">
        <v>716</v>
      </c>
      <c r="L95" s="3" t="s">
        <v>717</v>
      </c>
      <c r="M95" s="15" t="s">
        <v>718</v>
      </c>
      <c r="N95" s="15" t="s">
        <v>577</v>
      </c>
      <c r="O95" s="30">
        <v>300800</v>
      </c>
      <c r="P95" s="28">
        <v>1800</v>
      </c>
      <c r="Q95" s="28">
        <f>ROUNDDOWN((P95*30%),0)</f>
        <v>540</v>
      </c>
      <c r="R95" s="27" t="s">
        <v>779</v>
      </c>
      <c r="S95" s="36"/>
      <c r="T95" s="15"/>
      <c r="U95" s="15"/>
      <c r="V95" s="32" t="s">
        <v>824</v>
      </c>
      <c r="W95" s="5"/>
    </row>
    <row r="96" spans="1:23" ht="123" x14ac:dyDescent="0.45">
      <c r="A96" s="15">
        <v>92</v>
      </c>
      <c r="B96" s="15">
        <v>895</v>
      </c>
      <c r="C96" s="15" t="s">
        <v>778</v>
      </c>
      <c r="D96" s="3" t="s">
        <v>126</v>
      </c>
      <c r="E96" s="3" t="s">
        <v>312</v>
      </c>
      <c r="F96" s="15" t="s">
        <v>315</v>
      </c>
      <c r="G96" s="15" t="s">
        <v>314</v>
      </c>
      <c r="H96" s="19" t="s">
        <v>479</v>
      </c>
      <c r="I96" s="3" t="s">
        <v>481</v>
      </c>
      <c r="J96" s="15" t="s">
        <v>530</v>
      </c>
      <c r="K96" s="15" t="s">
        <v>716</v>
      </c>
      <c r="L96" s="3" t="s">
        <v>717</v>
      </c>
      <c r="M96" s="15" t="s">
        <v>718</v>
      </c>
      <c r="N96" s="15" t="s">
        <v>577</v>
      </c>
      <c r="O96" s="30">
        <v>300800</v>
      </c>
      <c r="P96" s="28">
        <v>360</v>
      </c>
      <c r="Q96" s="28">
        <f>ROUNDDOWN((P96*30%),0)</f>
        <v>108</v>
      </c>
      <c r="R96" s="27" t="s">
        <v>779</v>
      </c>
      <c r="S96" s="36"/>
      <c r="T96" s="15"/>
      <c r="U96" s="15"/>
      <c r="V96" s="33" t="s">
        <v>824</v>
      </c>
    </row>
    <row r="97" spans="1:23" ht="76.900000000000006" x14ac:dyDescent="0.45">
      <c r="A97" s="36">
        <v>93</v>
      </c>
      <c r="B97" s="36">
        <v>900</v>
      </c>
      <c r="C97" s="15" t="s">
        <v>774</v>
      </c>
      <c r="D97" s="3" t="s">
        <v>127</v>
      </c>
      <c r="E97" s="3" t="s">
        <v>154</v>
      </c>
      <c r="F97" s="15" t="s">
        <v>285</v>
      </c>
      <c r="G97" s="15" t="s">
        <v>177</v>
      </c>
      <c r="H97" s="19" t="s">
        <v>379</v>
      </c>
      <c r="I97" s="3" t="s">
        <v>435</v>
      </c>
      <c r="J97" s="15" t="s">
        <v>510</v>
      </c>
      <c r="K97" s="15" t="s">
        <v>719</v>
      </c>
      <c r="L97" s="3" t="s">
        <v>720</v>
      </c>
      <c r="M97" s="15" t="s">
        <v>513</v>
      </c>
      <c r="N97" s="15" t="s">
        <v>545</v>
      </c>
      <c r="O97" s="30">
        <v>546</v>
      </c>
      <c r="P97" s="28">
        <v>34000</v>
      </c>
      <c r="Q97" s="28">
        <f>ROUNDDOWN((P97*30%),0)</f>
        <v>10200</v>
      </c>
      <c r="R97" s="27" t="s">
        <v>779</v>
      </c>
      <c r="S97" s="36"/>
      <c r="T97" s="15"/>
      <c r="U97" s="15"/>
      <c r="V97" s="33" t="s">
        <v>781</v>
      </c>
    </row>
    <row r="98" spans="1:23" ht="30.75" x14ac:dyDescent="0.45">
      <c r="A98" s="15">
        <v>94</v>
      </c>
      <c r="B98" s="15">
        <v>983</v>
      </c>
      <c r="C98" s="15" t="s">
        <v>774</v>
      </c>
      <c r="D98" s="3" t="s">
        <v>128</v>
      </c>
      <c r="E98" s="3" t="s">
        <v>316</v>
      </c>
      <c r="F98" s="15" t="s">
        <v>226</v>
      </c>
      <c r="G98" s="15" t="s">
        <v>177</v>
      </c>
      <c r="H98" s="19" t="s">
        <v>379</v>
      </c>
      <c r="I98" s="3" t="s">
        <v>435</v>
      </c>
      <c r="J98" s="15" t="s">
        <v>510</v>
      </c>
      <c r="K98" s="15" t="s">
        <v>721</v>
      </c>
      <c r="L98" s="3" t="s">
        <v>722</v>
      </c>
      <c r="M98" s="15" t="s">
        <v>513</v>
      </c>
      <c r="N98" s="15" t="s">
        <v>545</v>
      </c>
      <c r="O98" s="30">
        <v>800</v>
      </c>
      <c r="P98" s="28">
        <v>185380</v>
      </c>
      <c r="Q98" s="28">
        <f>ROUNDDOWN((P98*30%),0)</f>
        <v>55614</v>
      </c>
      <c r="R98" s="27" t="s">
        <v>779</v>
      </c>
      <c r="S98" s="36"/>
      <c r="T98" s="15"/>
      <c r="U98" s="15"/>
      <c r="V98" s="33" t="s">
        <v>825</v>
      </c>
    </row>
    <row r="99" spans="1:23" ht="30.75" x14ac:dyDescent="0.45">
      <c r="A99" s="36">
        <v>95</v>
      </c>
      <c r="B99" s="36">
        <v>984</v>
      </c>
      <c r="C99" s="15" t="s">
        <v>776</v>
      </c>
      <c r="D99" s="3" t="s">
        <v>129</v>
      </c>
      <c r="E99" s="3" t="s">
        <v>317</v>
      </c>
      <c r="F99" s="15" t="s">
        <v>318</v>
      </c>
      <c r="G99" s="15" t="s">
        <v>177</v>
      </c>
      <c r="H99" s="19" t="s">
        <v>382</v>
      </c>
      <c r="I99" s="3" t="s">
        <v>482</v>
      </c>
      <c r="J99" s="15" t="s">
        <v>541</v>
      </c>
      <c r="K99" s="15" t="s">
        <v>723</v>
      </c>
      <c r="L99" s="3" t="s">
        <v>644</v>
      </c>
      <c r="M99" s="15" t="s">
        <v>645</v>
      </c>
      <c r="N99" s="15" t="s">
        <v>545</v>
      </c>
      <c r="O99" s="30">
        <v>2800</v>
      </c>
      <c r="P99" s="28">
        <v>30100</v>
      </c>
      <c r="Q99" s="28">
        <f>ROUNDDOWN((P99*30%),0)</f>
        <v>9030</v>
      </c>
      <c r="R99" s="27" t="s">
        <v>779</v>
      </c>
      <c r="S99" s="36"/>
      <c r="T99" s="15"/>
      <c r="U99" s="15"/>
      <c r="V99" s="32" t="s">
        <v>813</v>
      </c>
      <c r="W99" s="5"/>
    </row>
    <row r="100" spans="1:23" ht="46.15" x14ac:dyDescent="0.45">
      <c r="A100" s="15">
        <v>96</v>
      </c>
      <c r="B100" s="15">
        <v>987</v>
      </c>
      <c r="C100" s="15" t="s">
        <v>776</v>
      </c>
      <c r="D100" s="3" t="s">
        <v>130</v>
      </c>
      <c r="E100" s="3" t="s">
        <v>319</v>
      </c>
      <c r="F100" s="15" t="s">
        <v>320</v>
      </c>
      <c r="G100" s="15" t="s">
        <v>186</v>
      </c>
      <c r="H100" s="19" t="s">
        <v>384</v>
      </c>
      <c r="I100" s="3" t="s">
        <v>386</v>
      </c>
      <c r="J100" s="15" t="s">
        <v>510</v>
      </c>
      <c r="K100" s="15" t="s">
        <v>724</v>
      </c>
      <c r="L100" s="3" t="s">
        <v>554</v>
      </c>
      <c r="M100" s="15" t="s">
        <v>555</v>
      </c>
      <c r="N100" s="15" t="s">
        <v>556</v>
      </c>
      <c r="O100" s="30">
        <v>72420</v>
      </c>
      <c r="P100" s="28">
        <v>1800</v>
      </c>
      <c r="Q100" s="28">
        <f>ROUNDDOWN((P100*30%),0)</f>
        <v>540</v>
      </c>
      <c r="R100" s="27" t="s">
        <v>779</v>
      </c>
      <c r="S100" s="36" t="str">
        <f>VLOOKUP(B100,[1]GỐC!$B:$F,5,0)</f>
        <v>BBHC</v>
      </c>
      <c r="T100" s="15"/>
      <c r="U100" s="15"/>
      <c r="V100" s="32" t="s">
        <v>780</v>
      </c>
      <c r="W100" s="5"/>
    </row>
    <row r="101" spans="1:23" ht="292.14999999999998" x14ac:dyDescent="0.45">
      <c r="A101" s="36">
        <v>97</v>
      </c>
      <c r="B101" s="36">
        <v>987</v>
      </c>
      <c r="C101" s="15" t="s">
        <v>776</v>
      </c>
      <c r="D101" s="3" t="s">
        <v>131</v>
      </c>
      <c r="E101" s="3" t="s">
        <v>319</v>
      </c>
      <c r="F101" s="15" t="s">
        <v>321</v>
      </c>
      <c r="G101" s="15" t="s">
        <v>183</v>
      </c>
      <c r="H101" s="19" t="s">
        <v>418</v>
      </c>
      <c r="I101" s="3" t="s">
        <v>483</v>
      </c>
      <c r="J101" s="15" t="s">
        <v>510</v>
      </c>
      <c r="K101" s="15" t="s">
        <v>725</v>
      </c>
      <c r="L101" s="3" t="s">
        <v>532</v>
      </c>
      <c r="M101" s="15" t="s">
        <v>533</v>
      </c>
      <c r="N101" s="15" t="s">
        <v>556</v>
      </c>
      <c r="O101" s="30">
        <v>104000</v>
      </c>
      <c r="P101" s="28">
        <v>2410</v>
      </c>
      <c r="Q101" s="28">
        <f>ROUNDDOWN((P101*30%),0)</f>
        <v>723</v>
      </c>
      <c r="R101" s="27" t="s">
        <v>779</v>
      </c>
      <c r="S101" s="36" t="str">
        <f>VLOOKUP(B101,[1]GỐC!$B:$F,5,0)</f>
        <v>BBHC</v>
      </c>
      <c r="T101" s="15"/>
      <c r="U101" s="15"/>
      <c r="V101" s="32" t="s">
        <v>784</v>
      </c>
      <c r="W101" s="5"/>
    </row>
    <row r="102" spans="1:23" ht="46.15" x14ac:dyDescent="0.45">
      <c r="A102" s="15">
        <v>98</v>
      </c>
      <c r="B102" s="15">
        <v>987</v>
      </c>
      <c r="C102" s="15" t="s">
        <v>778</v>
      </c>
      <c r="D102" s="3" t="s">
        <v>132</v>
      </c>
      <c r="E102" s="3" t="s">
        <v>319</v>
      </c>
      <c r="F102" s="15" t="s">
        <v>322</v>
      </c>
      <c r="G102" s="15" t="s">
        <v>186</v>
      </c>
      <c r="H102" s="19" t="s">
        <v>418</v>
      </c>
      <c r="I102" s="3" t="s">
        <v>484</v>
      </c>
      <c r="J102" s="15" t="s">
        <v>530</v>
      </c>
      <c r="K102" s="15" t="s">
        <v>726</v>
      </c>
      <c r="L102" s="3" t="s">
        <v>727</v>
      </c>
      <c r="M102" s="15" t="s">
        <v>603</v>
      </c>
      <c r="N102" s="15" t="s">
        <v>577</v>
      </c>
      <c r="O102" s="30">
        <v>97000</v>
      </c>
      <c r="P102" s="28">
        <v>1500</v>
      </c>
      <c r="Q102" s="28">
        <f>ROUNDDOWN((P102*30%),0)</f>
        <v>450</v>
      </c>
      <c r="R102" s="27" t="s">
        <v>779</v>
      </c>
      <c r="S102" s="36" t="str">
        <f>VLOOKUP(B102,[1]GỐC!$B:$F,5,0)</f>
        <v>BBHC</v>
      </c>
      <c r="T102" s="15"/>
      <c r="U102" s="15"/>
      <c r="V102" s="33" t="s">
        <v>826</v>
      </c>
    </row>
    <row r="103" spans="1:23" ht="46.15" x14ac:dyDescent="0.45">
      <c r="A103" s="36">
        <v>99</v>
      </c>
      <c r="B103" s="36">
        <v>987</v>
      </c>
      <c r="C103" s="15" t="s">
        <v>774</v>
      </c>
      <c r="D103" s="3" t="s">
        <v>133</v>
      </c>
      <c r="E103" s="3" t="s">
        <v>319</v>
      </c>
      <c r="F103" s="15" t="s">
        <v>323</v>
      </c>
      <c r="G103" s="15" t="s">
        <v>156</v>
      </c>
      <c r="H103" s="19" t="s">
        <v>384</v>
      </c>
      <c r="I103" s="3" t="s">
        <v>485</v>
      </c>
      <c r="J103" s="15" t="s">
        <v>530</v>
      </c>
      <c r="K103" s="15" t="s">
        <v>728</v>
      </c>
      <c r="L103" s="3" t="s">
        <v>729</v>
      </c>
      <c r="M103" s="15" t="s">
        <v>513</v>
      </c>
      <c r="N103" s="15" t="s">
        <v>577</v>
      </c>
      <c r="O103" s="30">
        <v>139000</v>
      </c>
      <c r="P103" s="28">
        <v>1500</v>
      </c>
      <c r="Q103" s="28">
        <f>ROUNDDOWN((P103*30%),0)</f>
        <v>450</v>
      </c>
      <c r="R103" s="27" t="s">
        <v>779</v>
      </c>
      <c r="S103" s="36" t="str">
        <f>VLOOKUP(B103,[1]GỐC!$B:$F,5,0)</f>
        <v>BBHC</v>
      </c>
      <c r="T103" s="15"/>
      <c r="U103" s="15"/>
      <c r="V103" s="33" t="s">
        <v>781</v>
      </c>
    </row>
    <row r="104" spans="1:23" ht="76.900000000000006" x14ac:dyDescent="0.45">
      <c r="A104" s="15">
        <v>100</v>
      </c>
      <c r="B104" s="15">
        <v>990</v>
      </c>
      <c r="C104" s="15" t="s">
        <v>776</v>
      </c>
      <c r="D104" s="3" t="s">
        <v>134</v>
      </c>
      <c r="E104" s="3" t="s">
        <v>324</v>
      </c>
      <c r="F104" s="15" t="s">
        <v>325</v>
      </c>
      <c r="G104" s="15" t="s">
        <v>186</v>
      </c>
      <c r="H104" s="19" t="s">
        <v>486</v>
      </c>
      <c r="I104" s="3" t="s">
        <v>487</v>
      </c>
      <c r="J104" s="15" t="s">
        <v>530</v>
      </c>
      <c r="K104" s="15" t="s">
        <v>730</v>
      </c>
      <c r="L104" s="3" t="s">
        <v>554</v>
      </c>
      <c r="M104" s="15" t="s">
        <v>555</v>
      </c>
      <c r="N104" s="15" t="s">
        <v>577</v>
      </c>
      <c r="O104" s="30">
        <v>856800</v>
      </c>
      <c r="P104" s="28">
        <v>600</v>
      </c>
      <c r="Q104" s="28">
        <f>ROUNDDOWN((P104*30%),0)</f>
        <v>180</v>
      </c>
      <c r="R104" s="27" t="s">
        <v>779</v>
      </c>
      <c r="S104" s="36" t="str">
        <f>VLOOKUP(B104,[1]GỐC!$B:$F,5,0)</f>
        <v>- BBHC + Duyệt GĐ
- 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v>
      </c>
      <c r="T104" s="15"/>
      <c r="U104" s="15"/>
      <c r="V104" s="33" t="s">
        <v>780</v>
      </c>
    </row>
    <row r="105" spans="1:23" ht="46.15" x14ac:dyDescent="0.45">
      <c r="A105" s="36">
        <v>101</v>
      </c>
      <c r="B105" s="36">
        <v>992</v>
      </c>
      <c r="C105" s="15" t="s">
        <v>774</v>
      </c>
      <c r="D105" s="3" t="s">
        <v>135</v>
      </c>
      <c r="E105" s="3" t="s">
        <v>326</v>
      </c>
      <c r="F105" s="15" t="s">
        <v>327</v>
      </c>
      <c r="G105" s="15" t="s">
        <v>156</v>
      </c>
      <c r="H105" s="19" t="s">
        <v>418</v>
      </c>
      <c r="I105" s="3" t="s">
        <v>488</v>
      </c>
      <c r="J105" s="15" t="s">
        <v>510</v>
      </c>
      <c r="K105" s="15" t="s">
        <v>731</v>
      </c>
      <c r="L105" s="3" t="s">
        <v>673</v>
      </c>
      <c r="M105" s="15" t="s">
        <v>513</v>
      </c>
      <c r="N105" s="15" t="s">
        <v>556</v>
      </c>
      <c r="O105" s="30">
        <v>24000</v>
      </c>
      <c r="P105" s="28">
        <v>1100</v>
      </c>
      <c r="Q105" s="28">
        <f>ROUNDDOWN((P105*30%),0)</f>
        <v>330</v>
      </c>
      <c r="R105" s="27" t="s">
        <v>779</v>
      </c>
      <c r="S105" s="36"/>
      <c r="T105" s="15"/>
      <c r="U105" s="15"/>
      <c r="V105" s="33" t="s">
        <v>818</v>
      </c>
    </row>
    <row r="106" spans="1:23" ht="246" x14ac:dyDescent="0.45">
      <c r="A106" s="15">
        <v>102</v>
      </c>
      <c r="B106" s="15">
        <v>1000</v>
      </c>
      <c r="C106" s="15" t="s">
        <v>774</v>
      </c>
      <c r="D106" s="3" t="s">
        <v>136</v>
      </c>
      <c r="E106" s="3" t="s">
        <v>328</v>
      </c>
      <c r="F106" s="15" t="s">
        <v>329</v>
      </c>
      <c r="G106" s="15" t="s">
        <v>156</v>
      </c>
      <c r="H106" s="19" t="s">
        <v>384</v>
      </c>
      <c r="I106" s="3" t="s">
        <v>485</v>
      </c>
      <c r="J106" s="15" t="s">
        <v>510</v>
      </c>
      <c r="K106" s="15" t="s">
        <v>732</v>
      </c>
      <c r="L106" s="3" t="s">
        <v>733</v>
      </c>
      <c r="M106" s="15" t="s">
        <v>513</v>
      </c>
      <c r="N106" s="15" t="s">
        <v>577</v>
      </c>
      <c r="O106" s="30">
        <v>17000</v>
      </c>
      <c r="P106" s="28">
        <v>69710</v>
      </c>
      <c r="Q106" s="28">
        <f>ROUNDDOWN((P106*30%),0)</f>
        <v>20913</v>
      </c>
      <c r="R106" s="27" t="s">
        <v>779</v>
      </c>
      <c r="S106" s="36"/>
      <c r="T106" s="15"/>
      <c r="U106" s="15"/>
      <c r="V106" s="33" t="s">
        <v>781</v>
      </c>
    </row>
    <row r="107" spans="1:23" ht="92.25" x14ac:dyDescent="0.45">
      <c r="A107" s="36">
        <v>103</v>
      </c>
      <c r="B107" s="36">
        <v>1015</v>
      </c>
      <c r="C107" s="15" t="s">
        <v>774</v>
      </c>
      <c r="D107" s="3" t="s">
        <v>137</v>
      </c>
      <c r="E107" s="3" t="s">
        <v>330</v>
      </c>
      <c r="F107" s="15" t="s">
        <v>331</v>
      </c>
      <c r="G107" s="15" t="s">
        <v>177</v>
      </c>
      <c r="H107" s="19" t="s">
        <v>489</v>
      </c>
      <c r="I107" s="3" t="s">
        <v>490</v>
      </c>
      <c r="J107" s="15" t="s">
        <v>530</v>
      </c>
      <c r="K107" s="15" t="s">
        <v>734</v>
      </c>
      <c r="L107" s="3" t="s">
        <v>735</v>
      </c>
      <c r="M107" s="15" t="s">
        <v>513</v>
      </c>
      <c r="N107" s="15" t="s">
        <v>545</v>
      </c>
      <c r="O107" s="30">
        <v>2310</v>
      </c>
      <c r="P107" s="28">
        <v>108000</v>
      </c>
      <c r="Q107" s="28">
        <f>ROUNDDOWN((P107*30%),0)</f>
        <v>32400</v>
      </c>
      <c r="R107" s="27" t="s">
        <v>779</v>
      </c>
      <c r="S107" s="36"/>
      <c r="T107" s="15"/>
      <c r="U107" s="15"/>
      <c r="V107" s="33" t="s">
        <v>827</v>
      </c>
    </row>
    <row r="108" spans="1:23" ht="46.15" x14ac:dyDescent="0.45">
      <c r="A108" s="15">
        <v>104</v>
      </c>
      <c r="B108" s="15">
        <v>1024</v>
      </c>
      <c r="C108" s="15" t="s">
        <v>775</v>
      </c>
      <c r="D108" s="3" t="s">
        <v>138</v>
      </c>
      <c r="E108" s="3" t="s">
        <v>332</v>
      </c>
      <c r="F108" s="15" t="s">
        <v>333</v>
      </c>
      <c r="G108" s="15" t="s">
        <v>156</v>
      </c>
      <c r="H108" s="19" t="s">
        <v>364</v>
      </c>
      <c r="I108" s="3" t="s">
        <v>491</v>
      </c>
      <c r="J108" s="15" t="s">
        <v>530</v>
      </c>
      <c r="K108" s="15" t="s">
        <v>736</v>
      </c>
      <c r="L108" s="3" t="s">
        <v>737</v>
      </c>
      <c r="M108" s="15" t="s">
        <v>738</v>
      </c>
      <c r="N108" s="15" t="s">
        <v>514</v>
      </c>
      <c r="O108" s="30">
        <v>14495</v>
      </c>
      <c r="P108" s="28">
        <v>14600</v>
      </c>
      <c r="Q108" s="28">
        <f>ROUNDDOWN((P108*30%),0)</f>
        <v>4380</v>
      </c>
      <c r="R108" s="27" t="s">
        <v>779</v>
      </c>
      <c r="S108" s="36"/>
      <c r="T108" s="15"/>
      <c r="U108" s="15"/>
      <c r="V108" s="33" t="s">
        <v>786</v>
      </c>
    </row>
    <row r="109" spans="1:23" ht="76.900000000000006" x14ac:dyDescent="0.45">
      <c r="A109" s="36">
        <v>105</v>
      </c>
      <c r="B109" s="36">
        <v>1029</v>
      </c>
      <c r="C109" s="15" t="s">
        <v>774</v>
      </c>
      <c r="D109" s="3" t="s">
        <v>139</v>
      </c>
      <c r="E109" s="3" t="s">
        <v>334</v>
      </c>
      <c r="F109" s="15" t="s">
        <v>335</v>
      </c>
      <c r="G109" s="15" t="s">
        <v>177</v>
      </c>
      <c r="H109" s="19" t="s">
        <v>382</v>
      </c>
      <c r="I109" s="3" t="s">
        <v>492</v>
      </c>
      <c r="J109" s="15" t="s">
        <v>541</v>
      </c>
      <c r="K109" s="15" t="s">
        <v>739</v>
      </c>
      <c r="L109" s="3" t="s">
        <v>579</v>
      </c>
      <c r="M109" s="15" t="s">
        <v>513</v>
      </c>
      <c r="N109" s="15" t="s">
        <v>545</v>
      </c>
      <c r="O109" s="30">
        <v>115</v>
      </c>
      <c r="P109" s="28">
        <v>726400</v>
      </c>
      <c r="Q109" s="28">
        <f>ROUNDDOWN((P109*30%),0)</f>
        <v>217920</v>
      </c>
      <c r="R109" s="27" t="s">
        <v>779</v>
      </c>
      <c r="S109" s="36"/>
      <c r="T109" s="15"/>
      <c r="U109" s="15"/>
      <c r="V109" s="33" t="s">
        <v>795</v>
      </c>
    </row>
    <row r="110" spans="1:23" ht="123" x14ac:dyDescent="0.45">
      <c r="A110" s="15">
        <v>106</v>
      </c>
      <c r="B110" s="15">
        <v>1029</v>
      </c>
      <c r="C110" s="15" t="s">
        <v>774</v>
      </c>
      <c r="D110" s="3" t="s">
        <v>140</v>
      </c>
      <c r="E110" s="3" t="s">
        <v>334</v>
      </c>
      <c r="F110" s="15" t="s">
        <v>336</v>
      </c>
      <c r="G110" s="15" t="s">
        <v>177</v>
      </c>
      <c r="H110" s="19" t="s">
        <v>493</v>
      </c>
      <c r="I110" s="3" t="s">
        <v>494</v>
      </c>
      <c r="J110" s="15" t="s">
        <v>510</v>
      </c>
      <c r="K110" s="15" t="s">
        <v>740</v>
      </c>
      <c r="L110" s="3" t="s">
        <v>741</v>
      </c>
      <c r="M110" s="15" t="s">
        <v>513</v>
      </c>
      <c r="N110" s="15" t="s">
        <v>545</v>
      </c>
      <c r="O110" s="30">
        <v>2600</v>
      </c>
      <c r="P110" s="28">
        <v>14600</v>
      </c>
      <c r="Q110" s="28">
        <f>ROUNDDOWN((P110*30%),0)</f>
        <v>4380</v>
      </c>
      <c r="R110" s="27" t="s">
        <v>779</v>
      </c>
      <c r="S110" s="36"/>
      <c r="T110" s="15"/>
      <c r="U110" s="15"/>
      <c r="V110" s="33" t="s">
        <v>791</v>
      </c>
    </row>
    <row r="111" spans="1:23" ht="76.900000000000006" x14ac:dyDescent="0.45">
      <c r="A111" s="36">
        <v>107</v>
      </c>
      <c r="B111" s="36" t="s">
        <v>840</v>
      </c>
      <c r="C111" s="15" t="s">
        <v>776</v>
      </c>
      <c r="D111" s="3" t="s">
        <v>141</v>
      </c>
      <c r="E111" s="3" t="s">
        <v>337</v>
      </c>
      <c r="F111" s="15" t="s">
        <v>338</v>
      </c>
      <c r="G111" s="15" t="s">
        <v>339</v>
      </c>
      <c r="H111" s="19" t="s">
        <v>495</v>
      </c>
      <c r="I111" s="3" t="s">
        <v>496</v>
      </c>
      <c r="J111" s="15" t="s">
        <v>530</v>
      </c>
      <c r="K111" s="15" t="s">
        <v>742</v>
      </c>
      <c r="L111" s="3" t="s">
        <v>743</v>
      </c>
      <c r="M111" s="15" t="s">
        <v>744</v>
      </c>
      <c r="N111" s="15" t="s">
        <v>580</v>
      </c>
      <c r="O111" s="30">
        <v>692948</v>
      </c>
      <c r="P111" s="28">
        <v>500</v>
      </c>
      <c r="Q111" s="28">
        <f>ROUNDDOWN((P111*30%),0)</f>
        <v>150</v>
      </c>
      <c r="R111" s="27" t="s">
        <v>779</v>
      </c>
      <c r="S111" s="36"/>
      <c r="T111" s="15"/>
      <c r="U111" s="15"/>
      <c r="V111" s="33" t="s">
        <v>784</v>
      </c>
    </row>
    <row r="112" spans="1:23" ht="338.25" x14ac:dyDescent="0.45">
      <c r="A112" s="15">
        <v>108</v>
      </c>
      <c r="B112" s="36" t="s">
        <v>840</v>
      </c>
      <c r="C112" s="15" t="s">
        <v>776</v>
      </c>
      <c r="D112" s="3" t="s">
        <v>142</v>
      </c>
      <c r="E112" s="3" t="s">
        <v>340</v>
      </c>
      <c r="F112" s="15" t="s">
        <v>341</v>
      </c>
      <c r="G112" s="15" t="s">
        <v>342</v>
      </c>
      <c r="H112" s="19" t="s">
        <v>495</v>
      </c>
      <c r="I112" s="3" t="s">
        <v>497</v>
      </c>
      <c r="J112" s="15" t="s">
        <v>530</v>
      </c>
      <c r="K112" s="15" t="s">
        <v>745</v>
      </c>
      <c r="L112" s="3" t="s">
        <v>746</v>
      </c>
      <c r="M112" s="15" t="s">
        <v>747</v>
      </c>
      <c r="N112" s="15" t="s">
        <v>580</v>
      </c>
      <c r="O112" s="30">
        <v>1068900</v>
      </c>
      <c r="P112" s="28">
        <v>500</v>
      </c>
      <c r="Q112" s="28">
        <f>ROUNDDOWN((P112*30%),0)</f>
        <v>150</v>
      </c>
      <c r="R112" s="27" t="s">
        <v>779</v>
      </c>
      <c r="S112" s="36"/>
      <c r="T112" s="15"/>
      <c r="U112" s="15"/>
      <c r="V112" s="33" t="s">
        <v>784</v>
      </c>
    </row>
    <row r="113" spans="1:23" ht="76.900000000000006" x14ac:dyDescent="0.45">
      <c r="A113" s="36">
        <v>109</v>
      </c>
      <c r="B113" s="36">
        <v>953</v>
      </c>
      <c r="C113" s="15" t="s">
        <v>776</v>
      </c>
      <c r="D113" s="3" t="s">
        <v>143</v>
      </c>
      <c r="E113" s="3" t="s">
        <v>343</v>
      </c>
      <c r="F113" s="15" t="s">
        <v>344</v>
      </c>
      <c r="G113" s="15" t="s">
        <v>345</v>
      </c>
      <c r="H113" s="19" t="s">
        <v>498</v>
      </c>
      <c r="I113" s="3" t="s">
        <v>499</v>
      </c>
      <c r="J113" s="15" t="s">
        <v>530</v>
      </c>
      <c r="K113" s="15" t="s">
        <v>748</v>
      </c>
      <c r="L113" s="3" t="s">
        <v>749</v>
      </c>
      <c r="M113" s="15" t="s">
        <v>552</v>
      </c>
      <c r="N113" s="15" t="s">
        <v>750</v>
      </c>
      <c r="O113" s="30">
        <v>948680</v>
      </c>
      <c r="P113" s="28">
        <v>500</v>
      </c>
      <c r="Q113" s="28">
        <f>ROUNDDOWN((P113*30%),0)</f>
        <v>150</v>
      </c>
      <c r="R113" s="27" t="s">
        <v>779</v>
      </c>
      <c r="S113" s="36"/>
      <c r="T113" s="15"/>
      <c r="U113" s="15"/>
      <c r="V113" s="33" t="s">
        <v>784</v>
      </c>
    </row>
    <row r="114" spans="1:23" ht="61.5" x14ac:dyDescent="0.45">
      <c r="A114" s="15">
        <v>110</v>
      </c>
      <c r="B114" s="36" t="s">
        <v>840</v>
      </c>
      <c r="C114" s="15" t="s">
        <v>775</v>
      </c>
      <c r="D114" s="3" t="s">
        <v>144</v>
      </c>
      <c r="E114" s="3" t="s">
        <v>346</v>
      </c>
      <c r="F114" s="15" t="s">
        <v>347</v>
      </c>
      <c r="G114" s="15" t="s">
        <v>186</v>
      </c>
      <c r="H114" s="19" t="s">
        <v>500</v>
      </c>
      <c r="I114" s="3" t="s">
        <v>501</v>
      </c>
      <c r="J114" s="15" t="s">
        <v>510</v>
      </c>
      <c r="K114" s="15" t="s">
        <v>751</v>
      </c>
      <c r="L114" s="3" t="s">
        <v>752</v>
      </c>
      <c r="M114" s="15" t="s">
        <v>753</v>
      </c>
      <c r="N114" s="15" t="s">
        <v>526</v>
      </c>
      <c r="O114" s="30">
        <v>37213990</v>
      </c>
      <c r="P114" s="28">
        <v>100</v>
      </c>
      <c r="Q114" s="28">
        <f>ROUNDDOWN((P114*30%),0)</f>
        <v>30</v>
      </c>
      <c r="R114" s="27" t="s">
        <v>779</v>
      </c>
      <c r="S114" s="36"/>
      <c r="T114" s="15"/>
      <c r="U114" s="15"/>
      <c r="V114" s="33" t="s">
        <v>782</v>
      </c>
    </row>
    <row r="115" spans="1:23" ht="46.15" x14ac:dyDescent="0.45">
      <c r="A115" s="36">
        <v>111</v>
      </c>
      <c r="B115" s="36" t="s">
        <v>840</v>
      </c>
      <c r="C115" s="15" t="s">
        <v>776</v>
      </c>
      <c r="D115" s="3" t="s">
        <v>145</v>
      </c>
      <c r="E115" s="3" t="s">
        <v>348</v>
      </c>
      <c r="F115" s="15" t="s">
        <v>349</v>
      </c>
      <c r="G115" s="15" t="s">
        <v>177</v>
      </c>
      <c r="H115" s="19" t="s">
        <v>502</v>
      </c>
      <c r="I115" s="3" t="s">
        <v>474</v>
      </c>
      <c r="J115" s="15" t="s">
        <v>510</v>
      </c>
      <c r="K115" s="15" t="s">
        <v>754</v>
      </c>
      <c r="L115" s="3" t="s">
        <v>755</v>
      </c>
      <c r="M115" s="15" t="s">
        <v>555</v>
      </c>
      <c r="N115" s="15" t="s">
        <v>545</v>
      </c>
      <c r="O115" s="30">
        <v>11550</v>
      </c>
      <c r="P115" s="28">
        <v>4000</v>
      </c>
      <c r="Q115" s="28">
        <f>ROUNDDOWN((P115*30%),0)</f>
        <v>1200</v>
      </c>
      <c r="R115" s="27" t="s">
        <v>779</v>
      </c>
      <c r="S115" s="36"/>
      <c r="T115" s="15"/>
      <c r="U115" s="15"/>
      <c r="V115" s="32" t="s">
        <v>788</v>
      </c>
      <c r="W115" s="5"/>
    </row>
    <row r="116" spans="1:23" ht="215.25" x14ac:dyDescent="0.45">
      <c r="A116" s="15">
        <v>112</v>
      </c>
      <c r="B116" s="36" t="s">
        <v>840</v>
      </c>
      <c r="C116" s="15" t="s">
        <v>776</v>
      </c>
      <c r="D116" s="3" t="s">
        <v>146</v>
      </c>
      <c r="E116" s="3" t="s">
        <v>350</v>
      </c>
      <c r="F116" s="15" t="s">
        <v>351</v>
      </c>
      <c r="G116" s="15" t="s">
        <v>156</v>
      </c>
      <c r="H116" s="19" t="s">
        <v>364</v>
      </c>
      <c r="I116" s="3" t="s">
        <v>503</v>
      </c>
      <c r="J116" s="15" t="s">
        <v>510</v>
      </c>
      <c r="K116" s="15" t="s">
        <v>756</v>
      </c>
      <c r="L116" s="3" t="s">
        <v>757</v>
      </c>
      <c r="M116" s="15" t="s">
        <v>758</v>
      </c>
      <c r="N116" s="15" t="s">
        <v>689</v>
      </c>
      <c r="O116" s="30">
        <v>4500000</v>
      </c>
      <c r="P116" s="28">
        <v>50</v>
      </c>
      <c r="Q116" s="28">
        <f>ROUNDDOWN((P116*30%),0)</f>
        <v>15</v>
      </c>
      <c r="R116" s="27" t="s">
        <v>779</v>
      </c>
      <c r="S116" s="36"/>
      <c r="T116" s="15"/>
      <c r="U116" s="15"/>
      <c r="V116" s="34" t="s">
        <v>782</v>
      </c>
      <c r="W116" s="5"/>
    </row>
    <row r="117" spans="1:23" ht="215.25" x14ac:dyDescent="0.45">
      <c r="A117" s="36">
        <v>113</v>
      </c>
      <c r="B117" s="36" t="s">
        <v>840</v>
      </c>
      <c r="C117" s="15" t="s">
        <v>776</v>
      </c>
      <c r="D117" s="3" t="s">
        <v>146</v>
      </c>
      <c r="E117" s="3" t="s">
        <v>350</v>
      </c>
      <c r="F117" s="15" t="s">
        <v>351</v>
      </c>
      <c r="G117" s="15" t="s">
        <v>156</v>
      </c>
      <c r="H117" s="19" t="s">
        <v>364</v>
      </c>
      <c r="I117" s="3" t="s">
        <v>504</v>
      </c>
      <c r="J117" s="15" t="s">
        <v>510</v>
      </c>
      <c r="K117" s="15" t="s">
        <v>756</v>
      </c>
      <c r="L117" s="3" t="s">
        <v>757</v>
      </c>
      <c r="M117" s="15" t="s">
        <v>758</v>
      </c>
      <c r="N117" s="15" t="s">
        <v>689</v>
      </c>
      <c r="O117" s="30">
        <v>4500000</v>
      </c>
      <c r="P117" s="28">
        <v>50</v>
      </c>
      <c r="Q117" s="28">
        <f>ROUNDDOWN((P117*30%),0)</f>
        <v>15</v>
      </c>
      <c r="R117" s="27" t="s">
        <v>779</v>
      </c>
      <c r="S117" s="36"/>
      <c r="T117" s="15"/>
      <c r="U117" s="15"/>
      <c r="V117" s="33" t="s">
        <v>782</v>
      </c>
    </row>
    <row r="118" spans="1:23" ht="76.900000000000006" x14ac:dyDescent="0.45">
      <c r="A118" s="15">
        <v>114</v>
      </c>
      <c r="B118" s="36" t="s">
        <v>840</v>
      </c>
      <c r="C118" s="15" t="s">
        <v>776</v>
      </c>
      <c r="D118" s="3" t="s">
        <v>147</v>
      </c>
      <c r="E118" s="3" t="s">
        <v>352</v>
      </c>
      <c r="F118" s="15" t="s">
        <v>353</v>
      </c>
      <c r="G118" s="15" t="s">
        <v>156</v>
      </c>
      <c r="H118" s="19" t="s">
        <v>364</v>
      </c>
      <c r="I118" s="3" t="s">
        <v>505</v>
      </c>
      <c r="J118" s="15" t="s">
        <v>541</v>
      </c>
      <c r="K118" s="15" t="s">
        <v>759</v>
      </c>
      <c r="L118" s="3" t="s">
        <v>760</v>
      </c>
      <c r="M118" s="15" t="s">
        <v>555</v>
      </c>
      <c r="N118" s="15" t="s">
        <v>625</v>
      </c>
      <c r="O118" s="30">
        <v>4410000</v>
      </c>
      <c r="P118" s="28">
        <v>10</v>
      </c>
      <c r="Q118" s="28">
        <f>ROUNDDOWN((P118*30%),0)</f>
        <v>3</v>
      </c>
      <c r="R118" s="27" t="s">
        <v>779</v>
      </c>
      <c r="S118" s="36"/>
      <c r="T118" s="15"/>
      <c r="U118" s="15"/>
      <c r="V118" s="33" t="s">
        <v>784</v>
      </c>
    </row>
    <row r="119" spans="1:23" ht="61.5" x14ac:dyDescent="0.45">
      <c r="A119" s="36">
        <v>115</v>
      </c>
      <c r="B119" s="36" t="s">
        <v>840</v>
      </c>
      <c r="C119" s="15" t="s">
        <v>776</v>
      </c>
      <c r="D119" s="3" t="s">
        <v>148</v>
      </c>
      <c r="E119" s="3" t="s">
        <v>354</v>
      </c>
      <c r="F119" s="15" t="s">
        <v>355</v>
      </c>
      <c r="G119" s="15" t="s">
        <v>163</v>
      </c>
      <c r="H119" s="19" t="s">
        <v>369</v>
      </c>
      <c r="I119" s="3" t="s">
        <v>399</v>
      </c>
      <c r="J119" s="15" t="s">
        <v>530</v>
      </c>
      <c r="K119" s="15" t="s">
        <v>761</v>
      </c>
      <c r="L119" s="3" t="s">
        <v>762</v>
      </c>
      <c r="M119" s="15" t="s">
        <v>639</v>
      </c>
      <c r="N119" s="15" t="s">
        <v>526</v>
      </c>
      <c r="O119" s="30">
        <v>74840</v>
      </c>
      <c r="P119" s="28">
        <v>1200</v>
      </c>
      <c r="Q119" s="28">
        <f>ROUNDDOWN((P119*30%),0)</f>
        <v>360</v>
      </c>
      <c r="R119" s="27" t="s">
        <v>779</v>
      </c>
      <c r="S119" s="36"/>
      <c r="T119" s="15"/>
      <c r="U119" s="15"/>
      <c r="V119" s="33" t="s">
        <v>782</v>
      </c>
    </row>
    <row r="120" spans="1:23" ht="61.5" x14ac:dyDescent="0.45">
      <c r="A120" s="15">
        <v>116</v>
      </c>
      <c r="B120" s="36" t="s">
        <v>840</v>
      </c>
      <c r="C120" s="15" t="s">
        <v>776</v>
      </c>
      <c r="D120" s="3" t="s">
        <v>149</v>
      </c>
      <c r="E120" s="3" t="s">
        <v>356</v>
      </c>
      <c r="F120" s="15" t="s">
        <v>357</v>
      </c>
      <c r="G120" s="15" t="s">
        <v>156</v>
      </c>
      <c r="H120" s="19" t="s">
        <v>506</v>
      </c>
      <c r="I120" s="3" t="s">
        <v>507</v>
      </c>
      <c r="J120" s="15" t="s">
        <v>510</v>
      </c>
      <c r="K120" s="15" t="s">
        <v>763</v>
      </c>
      <c r="L120" s="3" t="s">
        <v>764</v>
      </c>
      <c r="M120" s="15" t="s">
        <v>555</v>
      </c>
      <c r="N120" s="15" t="s">
        <v>689</v>
      </c>
      <c r="O120" s="30">
        <v>490000</v>
      </c>
      <c r="P120" s="28">
        <v>12000</v>
      </c>
      <c r="Q120" s="28">
        <f>ROUNDDOWN((P120*30%),0)</f>
        <v>3600</v>
      </c>
      <c r="R120" s="27" t="s">
        <v>779</v>
      </c>
      <c r="S120" s="36"/>
      <c r="T120" s="15"/>
      <c r="U120" s="15"/>
      <c r="V120" s="33" t="s">
        <v>788</v>
      </c>
    </row>
    <row r="121" spans="1:23" ht="76.900000000000006" x14ac:dyDescent="0.45">
      <c r="A121" s="36">
        <v>117</v>
      </c>
      <c r="B121" s="36" t="s">
        <v>840</v>
      </c>
      <c r="C121" s="15" t="s">
        <v>776</v>
      </c>
      <c r="D121" s="3" t="s">
        <v>150</v>
      </c>
      <c r="E121" s="3" t="s">
        <v>358</v>
      </c>
      <c r="F121" s="15" t="s">
        <v>359</v>
      </c>
      <c r="G121" s="15" t="s">
        <v>177</v>
      </c>
      <c r="H121" s="19" t="s">
        <v>382</v>
      </c>
      <c r="I121" s="3" t="s">
        <v>508</v>
      </c>
      <c r="J121" s="15" t="s">
        <v>510</v>
      </c>
      <c r="K121" s="15" t="s">
        <v>765</v>
      </c>
      <c r="L121" s="3" t="s">
        <v>766</v>
      </c>
      <c r="M121" s="15" t="s">
        <v>767</v>
      </c>
      <c r="N121" s="15" t="s">
        <v>545</v>
      </c>
      <c r="O121" s="30">
        <v>20000</v>
      </c>
      <c r="P121" s="28">
        <v>8600</v>
      </c>
      <c r="Q121" s="28">
        <f>ROUNDDOWN((P121*30%),0)</f>
        <v>2580</v>
      </c>
      <c r="R121" s="27" t="s">
        <v>779</v>
      </c>
      <c r="S121" s="36"/>
      <c r="T121" s="15"/>
      <c r="U121" s="15"/>
      <c r="V121" s="33" t="s">
        <v>784</v>
      </c>
    </row>
    <row r="122" spans="1:23" ht="76.900000000000006" x14ac:dyDescent="0.45">
      <c r="A122" s="15">
        <v>118</v>
      </c>
      <c r="B122" s="36" t="s">
        <v>840</v>
      </c>
      <c r="C122" s="15" t="s">
        <v>776</v>
      </c>
      <c r="D122" s="3" t="s">
        <v>151</v>
      </c>
      <c r="E122" s="3" t="s">
        <v>358</v>
      </c>
      <c r="F122" s="15" t="s">
        <v>360</v>
      </c>
      <c r="G122" s="15" t="s">
        <v>177</v>
      </c>
      <c r="H122" s="19" t="s">
        <v>382</v>
      </c>
      <c r="I122" s="3" t="s">
        <v>432</v>
      </c>
      <c r="J122" s="15" t="s">
        <v>510</v>
      </c>
      <c r="K122" s="15" t="s">
        <v>768</v>
      </c>
      <c r="L122" s="3" t="s">
        <v>766</v>
      </c>
      <c r="M122" s="15" t="s">
        <v>767</v>
      </c>
      <c r="N122" s="15" t="s">
        <v>545</v>
      </c>
      <c r="O122" s="30">
        <v>20000</v>
      </c>
      <c r="P122" s="28">
        <v>3200</v>
      </c>
      <c r="Q122" s="28">
        <f>ROUNDDOWN((P122*30%),0)</f>
        <v>960</v>
      </c>
      <c r="R122" s="27" t="s">
        <v>779</v>
      </c>
      <c r="S122" s="36"/>
      <c r="T122" s="15"/>
      <c r="U122" s="15"/>
      <c r="V122" s="33" t="s">
        <v>784</v>
      </c>
    </row>
    <row r="123" spans="1:23" ht="76.900000000000006" x14ac:dyDescent="0.45">
      <c r="A123" s="36">
        <v>119</v>
      </c>
      <c r="B123" s="36" t="s">
        <v>840</v>
      </c>
      <c r="C123" s="15" t="s">
        <v>776</v>
      </c>
      <c r="D123" s="3" t="s">
        <v>152</v>
      </c>
      <c r="E123" s="3" t="s">
        <v>358</v>
      </c>
      <c r="F123" s="15" t="s">
        <v>361</v>
      </c>
      <c r="G123" s="15" t="s">
        <v>177</v>
      </c>
      <c r="H123" s="19" t="s">
        <v>382</v>
      </c>
      <c r="I123" s="3" t="s">
        <v>508</v>
      </c>
      <c r="J123" s="15" t="s">
        <v>510</v>
      </c>
      <c r="K123" s="15" t="s">
        <v>769</v>
      </c>
      <c r="L123" s="3" t="s">
        <v>766</v>
      </c>
      <c r="M123" s="15" t="s">
        <v>767</v>
      </c>
      <c r="N123" s="15" t="s">
        <v>545</v>
      </c>
      <c r="O123" s="30">
        <v>20000</v>
      </c>
      <c r="P123" s="28">
        <v>9800</v>
      </c>
      <c r="Q123" s="28">
        <f>ROUNDDOWN((P123*30%),0)</f>
        <v>2940</v>
      </c>
      <c r="R123" s="27" t="s">
        <v>779</v>
      </c>
      <c r="S123" s="36"/>
      <c r="T123" s="15"/>
      <c r="U123" s="15"/>
      <c r="V123" s="32" t="s">
        <v>784</v>
      </c>
      <c r="W123" s="5"/>
    </row>
    <row r="124" spans="1:23" ht="123" x14ac:dyDescent="0.45">
      <c r="A124" s="15">
        <v>120</v>
      </c>
      <c r="B124" s="15" t="s">
        <v>839</v>
      </c>
      <c r="C124" s="15" t="s">
        <v>778</v>
      </c>
      <c r="D124" s="3" t="s">
        <v>153</v>
      </c>
      <c r="E124" s="3" t="s">
        <v>362</v>
      </c>
      <c r="F124" s="15" t="s">
        <v>363</v>
      </c>
      <c r="G124" s="15" t="s">
        <v>177</v>
      </c>
      <c r="H124" s="19" t="s">
        <v>397</v>
      </c>
      <c r="I124" s="3" t="s">
        <v>509</v>
      </c>
      <c r="J124" s="15" t="s">
        <v>770</v>
      </c>
      <c r="K124" s="15" t="s">
        <v>771</v>
      </c>
      <c r="L124" s="3" t="s">
        <v>772</v>
      </c>
      <c r="M124" s="15" t="s">
        <v>603</v>
      </c>
      <c r="N124" s="15" t="s">
        <v>773</v>
      </c>
      <c r="O124" s="30">
        <v>110000</v>
      </c>
      <c r="P124" s="28">
        <v>18000</v>
      </c>
      <c r="Q124" s="28">
        <f>ROUNDDOWN((P124*30%),0)</f>
        <v>5400</v>
      </c>
      <c r="R124" s="27" t="s">
        <v>779</v>
      </c>
      <c r="S124" s="36"/>
      <c r="T124" s="15"/>
      <c r="U124" s="15"/>
      <c r="V124" s="33" t="s">
        <v>828</v>
      </c>
    </row>
    <row r="125" spans="1:23" x14ac:dyDescent="0.45">
      <c r="A125" s="15"/>
      <c r="B125" s="15"/>
      <c r="C125" s="15"/>
      <c r="D125" s="3"/>
      <c r="E125" s="3"/>
      <c r="F125" s="15"/>
      <c r="G125" s="15"/>
      <c r="H125" s="19"/>
      <c r="I125" s="3"/>
      <c r="J125" s="15"/>
      <c r="K125" s="15"/>
      <c r="L125" s="3"/>
      <c r="M125" s="15"/>
      <c r="N125" s="15"/>
      <c r="O125" s="30"/>
      <c r="P125" s="28"/>
      <c r="Q125" s="28"/>
      <c r="R125" s="27"/>
      <c r="S125" s="15"/>
      <c r="T125" s="15"/>
      <c r="U125" s="15"/>
      <c r="V125" s="33"/>
    </row>
  </sheetData>
  <autoFilter ref="A4:Z126" xr:uid="{00000000-0009-0000-0000-000000000000}">
    <sortState xmlns:xlrd2="http://schemas.microsoft.com/office/spreadsheetml/2017/richdata2" ref="A5:W125">
      <sortCondition ref="A4:A126"/>
    </sortState>
  </autoFilter>
  <sortState xmlns:xlrd2="http://schemas.microsoft.com/office/spreadsheetml/2017/richdata2" ref="A5:W122">
    <sortCondition ref="R5:R122"/>
  </sortState>
  <mergeCells count="2">
    <mergeCell ref="A1:U1"/>
    <mergeCell ref="A2:U2"/>
  </mergeCells>
  <phoneticPr fontId="7" type="noConversion"/>
  <conditionalFormatting sqref="D8:D10">
    <cfRule type="duplicateValues" dxfId="0" priority="1"/>
  </conditionalFormatting>
  <dataValidations count="1">
    <dataValidation type="decimal" showErrorMessage="1" errorTitle="Lưu ý" error="Nhập số lớn hơn 0 và nhỏ hơn 999,999,999,999,999" promptTitle="Lưu ý" prompt="Nhập số lớn hơn 0 và nhỏ hơn 999,999,999,999,999" sqref="O13:P18" xr:uid="{00000000-0002-0000-0000-000000000000}">
      <formula1>0.0001</formula1>
      <formula2>999999999999999</formula2>
    </dataValidation>
  </dataValidations>
  <pageMargins left="0.23622047244094491" right="0.15748031496062992" top="0.32" bottom="0.13" header="0.17" footer="0.11811023622047245"/>
  <pageSetup paperSize="9" scale="47" fitToHeight="0" orientation="landscape" r:id="rId1"/>
  <headerFooter>
    <oddHeader>&amp;C&amp;P/&amp;N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1"/>
  <sheetViews>
    <sheetView zoomScale="85" zoomScaleNormal="85" workbookViewId="0">
      <selection sqref="A1:C1"/>
    </sheetView>
  </sheetViews>
  <sheetFormatPr defaultColWidth="8.86328125" defaultRowHeight="15.4" x14ac:dyDescent="0.45"/>
  <cols>
    <col min="1" max="1" width="8.86328125" style="23"/>
    <col min="2" max="2" width="13.1328125" style="20" customWidth="1"/>
    <col min="3" max="3" width="145.86328125" style="20" customWidth="1"/>
    <col min="4" max="16384" width="8.86328125" style="20"/>
  </cols>
  <sheetData>
    <row r="1" spans="1:19" s="2" customFormat="1" x14ac:dyDescent="0.45">
      <c r="A1" s="39" t="s">
        <v>35</v>
      </c>
      <c r="B1" s="39"/>
      <c r="C1" s="39"/>
      <c r="D1" s="1"/>
      <c r="E1" s="1"/>
      <c r="F1" s="1"/>
      <c r="G1" s="1"/>
      <c r="H1" s="1"/>
      <c r="I1" s="1"/>
      <c r="J1" s="1"/>
      <c r="K1" s="1"/>
      <c r="L1" s="1"/>
      <c r="M1" s="1"/>
      <c r="N1" s="1"/>
      <c r="O1" s="1"/>
      <c r="P1" s="1"/>
      <c r="Q1" s="1"/>
      <c r="R1" s="1"/>
      <c r="S1" s="16"/>
    </row>
    <row r="2" spans="1:19" s="2" customFormat="1" x14ac:dyDescent="0.45">
      <c r="A2" s="40" t="s">
        <v>34</v>
      </c>
      <c r="B2" s="40"/>
      <c r="C2" s="40"/>
      <c r="D2" s="17"/>
      <c r="E2" s="17"/>
      <c r="F2" s="17"/>
      <c r="G2" s="17"/>
      <c r="H2" s="17"/>
      <c r="I2" s="17"/>
      <c r="J2" s="17"/>
      <c r="K2" s="17"/>
      <c r="L2" s="17"/>
      <c r="M2" s="17"/>
      <c r="N2" s="17"/>
      <c r="O2" s="17"/>
      <c r="P2" s="17"/>
      <c r="Q2" s="17"/>
      <c r="R2" s="17"/>
      <c r="S2" s="18"/>
    </row>
    <row r="4" spans="1:19" s="26" customFormat="1" ht="30" x14ac:dyDescent="0.45">
      <c r="A4" s="25" t="s">
        <v>0</v>
      </c>
      <c r="B4" s="29" t="s">
        <v>17</v>
      </c>
      <c r="C4" s="25" t="s">
        <v>19</v>
      </c>
    </row>
    <row r="5" spans="1:19" ht="215.25" x14ac:dyDescent="0.45">
      <c r="A5" s="24">
        <v>1</v>
      </c>
      <c r="B5" s="22" t="s">
        <v>18</v>
      </c>
      <c r="C5" s="21" t="s">
        <v>829</v>
      </c>
    </row>
    <row r="6" spans="1:19" ht="76.900000000000006" x14ac:dyDescent="0.45">
      <c r="A6" s="24">
        <v>2</v>
      </c>
      <c r="B6" s="22" t="s">
        <v>28</v>
      </c>
      <c r="C6" s="21" t="s">
        <v>29</v>
      </c>
    </row>
    <row r="7" spans="1:19" x14ac:dyDescent="0.45">
      <c r="A7" s="24">
        <v>3</v>
      </c>
      <c r="B7" s="22" t="s">
        <v>26</v>
      </c>
      <c r="C7" s="21"/>
    </row>
    <row r="8" spans="1:19" ht="46.15" x14ac:dyDescent="0.45">
      <c r="A8" s="31" t="s">
        <v>830</v>
      </c>
      <c r="B8" s="22" t="s">
        <v>20</v>
      </c>
      <c r="C8" s="21" t="s">
        <v>21</v>
      </c>
    </row>
    <row r="9" spans="1:19" x14ac:dyDescent="0.45">
      <c r="A9" s="31" t="s">
        <v>831</v>
      </c>
      <c r="B9" s="22" t="s">
        <v>22</v>
      </c>
      <c r="C9" s="22" t="s">
        <v>23</v>
      </c>
    </row>
    <row r="10" spans="1:19" ht="61.5" x14ac:dyDescent="0.45">
      <c r="A10" s="31" t="s">
        <v>832</v>
      </c>
      <c r="B10" s="22" t="s">
        <v>24</v>
      </c>
      <c r="C10" s="21" t="s">
        <v>25</v>
      </c>
    </row>
    <row r="11" spans="1:19" ht="30.75" x14ac:dyDescent="0.45">
      <c r="A11" s="24"/>
      <c r="B11" s="22"/>
      <c r="C11" s="21" t="s">
        <v>38</v>
      </c>
    </row>
  </sheetData>
  <mergeCells count="2">
    <mergeCell ref="A1:C1"/>
    <mergeCell ref="A2:C2"/>
  </mergeCells>
  <pageMargins left="0.23622047244094491" right="0.23622047244094491" top="0.39370078740157483" bottom="0.19685039370078741" header="0.19685039370078741" footer="0.19685039370078741"/>
  <pageSetup paperSize="9" scale="86" fitToHeight="0" orientation="landscape" r:id="rId1"/>
  <headerFooter>
    <oddHeader>&amp;C&amp;P/&amp;N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Phụ lục I</vt:lpstr>
      <vt:lpstr>Phụ lục II</vt:lpstr>
      <vt:lpstr>'Phụ lục I'!Print_Area</vt:lpstr>
      <vt:lpstr>'Phụ lục II'!Print_Area</vt:lpstr>
      <vt:lpstr>'Phụ lục I'!Print_Titles</vt:lpstr>
      <vt:lpstr>'Phụ lục II'!Print_Titles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2026-04-16T08:29:38Z</dcterms:modified>
</cp:coreProperties>
</file>